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b317e0815a7be4d0/Desktop/"/>
    </mc:Choice>
  </mc:AlternateContent>
  <xr:revisionPtr revIDLastSave="2" documentId="14_{1A9BED6A-F62F-4233-9B71-B86EF80A3F1B}" xr6:coauthVersionLast="47" xr6:coauthVersionMax="47" xr10:uidLastSave="{955B8F7F-06AB-464C-A553-DCA40E7FEA01}"/>
  <bookViews>
    <workbookView xWindow="-110" yWindow="-110" windowWidth="19420" windowHeight="10300" tabRatio="850" activeTab="5" xr2:uid="{00000000-000D-0000-FFFF-FFFF00000000}"/>
  </bookViews>
  <sheets>
    <sheet name="Sales Data" sheetId="1" r:id="rId1"/>
    <sheet name="Sales by Region" sheetId="3" r:id="rId2"/>
    <sheet name="Sales by Category" sheetId="4" r:id="rId3"/>
    <sheet name="Monthly Sales Trend" sheetId="2" r:id="rId4"/>
    <sheet name="KPIs" sheetId="5" r:id="rId5"/>
    <sheet name="Dashboard" sheetId="7" r:id="rId6"/>
  </sheets>
  <definedNames>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J4" i="7" l="1"/>
  <c r="I4" i="7"/>
  <c r="H4" i="7"/>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<sst xmlns="http://schemas.openxmlformats.org/spreadsheetml/2006/main" count="4041" uniqueCount="1669">
  <si>
    <t>Order ID</t>
  </si>
  <si>
    <t>Order Date</t>
  </si>
  <si>
    <t>Region</t>
  </si>
  <si>
    <t>Category</t>
  </si>
  <si>
    <t>Sales</t>
  </si>
  <si>
    <t>Profit</t>
  </si>
  <si>
    <t>ORD1000</t>
  </si>
  <si>
    <t>11-07-2016</t>
  </si>
  <si>
    <t>West</t>
  </si>
  <si>
    <t>Technology</t>
  </si>
  <si>
    <t>ORD1001</t>
  </si>
  <si>
    <t>09-09-2017</t>
  </si>
  <si>
    <t>East</t>
  </si>
  <si>
    <t>Furniture</t>
  </si>
  <si>
    <t>ORD1002</t>
  </si>
  <si>
    <t>01-05-2018</t>
  </si>
  <si>
    <t>South</t>
  </si>
  <si>
    <t>ORD1003</t>
  </si>
  <si>
    <t>14-08-2017</t>
  </si>
  <si>
    <t>ORD1004</t>
  </si>
  <si>
    <t>18-03-2018</t>
  </si>
  <si>
    <t>ORD1005</t>
  </si>
  <si>
    <t>05-02-2018</t>
  </si>
  <si>
    <t>ORD1006</t>
  </si>
  <si>
    <t>17-08-2016</t>
  </si>
  <si>
    <t>Office Supplies</t>
  </si>
  <si>
    <t>ORD1007</t>
  </si>
  <si>
    <t>04-02-2017</t>
  </si>
  <si>
    <t>ORD1008</t>
  </si>
  <si>
    <t>10-08-2016</t>
  </si>
  <si>
    <t>ORD1009</t>
  </si>
  <si>
    <t>04-08-2018</t>
  </si>
  <si>
    <t>ORD1010</t>
  </si>
  <si>
    <t>09-08-2017</t>
  </si>
  <si>
    <t>ORD1011</t>
  </si>
  <si>
    <t>ORD1012</t>
  </si>
  <si>
    <t>23-03-2017</t>
  </si>
  <si>
    <t>North</t>
  </si>
  <si>
    <t>ORD1013</t>
  </si>
  <si>
    <t>29-08-2017</t>
  </si>
  <si>
    <t>ORD1014</t>
  </si>
  <si>
    <t>01-10-2017</t>
  </si>
  <si>
    <t>ORD1015</t>
  </si>
  <si>
    <t>16-04-2018</t>
  </si>
  <si>
    <t>ORD1016</t>
  </si>
  <si>
    <t>26-01-2016</t>
  </si>
  <si>
    <t>ORD1017</t>
  </si>
  <si>
    <t>26-04-2016</t>
  </si>
  <si>
    <t>ORD1018</t>
  </si>
  <si>
    <t>25-08-2016</t>
  </si>
  <si>
    <t>ORD1019</t>
  </si>
  <si>
    <t>19-05-2017</t>
  </si>
  <si>
    <t>ORD1020</t>
  </si>
  <si>
    <t>03-07-2018</t>
  </si>
  <si>
    <t>ORD1021</t>
  </si>
  <si>
    <t>28-05-2018</t>
  </si>
  <si>
    <t>ORD1022</t>
  </si>
  <si>
    <t>27-03-2016</t>
  </si>
  <si>
    <t>ORD1023</t>
  </si>
  <si>
    <t>20-03-2018</t>
  </si>
  <si>
    <t>ORD1024</t>
  </si>
  <si>
    <t>03-06-2017</t>
  </si>
  <si>
    <t>ORD1025</t>
  </si>
  <si>
    <t>19-01-2018</t>
  </si>
  <si>
    <t>ORD1026</t>
  </si>
  <si>
    <t>09-07-2016</t>
  </si>
  <si>
    <t>ORD1027</t>
  </si>
  <si>
    <t>13-01-2017</t>
  </si>
  <si>
    <t>ORD1028</t>
  </si>
  <si>
    <t>26-09-2018</t>
  </si>
  <si>
    <t>ORD1029</t>
  </si>
  <si>
    <t>07-07-2016</t>
  </si>
  <si>
    <t>ORD1030</t>
  </si>
  <si>
    <t>24-04-2017</t>
  </si>
  <si>
    <t>ORD1031</t>
  </si>
  <si>
    <t>23-07-2016</t>
  </si>
  <si>
    <t>ORD1032</t>
  </si>
  <si>
    <t>21-05-2016</t>
  </si>
  <si>
    <t>ORD1033</t>
  </si>
  <si>
    <t>24-05-2017</t>
  </si>
  <si>
    <t>ORD1034</t>
  </si>
  <si>
    <t>23-01-2016</t>
  </si>
  <si>
    <t>ORD1035</t>
  </si>
  <si>
    <t>21-04-2017</t>
  </si>
  <si>
    <t>ORD1036</t>
  </si>
  <si>
    <t>16-01-2017</t>
  </si>
  <si>
    <t>ORD1037</t>
  </si>
  <si>
    <t>23-07-2018</t>
  </si>
  <si>
    <t>ORD1038</t>
  </si>
  <si>
    <t>ORD1039</t>
  </si>
  <si>
    <t>20-02-2016</t>
  </si>
  <si>
    <t>ORD1040</t>
  </si>
  <si>
    <t>13-12-2016</t>
  </si>
  <si>
    <t>ORD1041</t>
  </si>
  <si>
    <t>07-10-2016</t>
  </si>
  <si>
    <t>ORD1042</t>
  </si>
  <si>
    <t>24-05-2018</t>
  </si>
  <si>
    <t>ORD1043</t>
  </si>
  <si>
    <t>27-04-2017</t>
  </si>
  <si>
    <t>ORD1044</t>
  </si>
  <si>
    <t>10-07-2018</t>
  </si>
  <si>
    <t>ORD1045</t>
  </si>
  <si>
    <t>04-12-2017</t>
  </si>
  <si>
    <t>ORD1046</t>
  </si>
  <si>
    <t>03-11-2016</t>
  </si>
  <si>
    <t>ORD1047</t>
  </si>
  <si>
    <t>27-02-2016</t>
  </si>
  <si>
    <t>ORD1048</t>
  </si>
  <si>
    <t>06-09-2016</t>
  </si>
  <si>
    <t>ORD1049</t>
  </si>
  <si>
    <t>04-03-2017</t>
  </si>
  <si>
    <t>ORD1050</t>
  </si>
  <si>
    <t>04-04-2017</t>
  </si>
  <si>
    <t>ORD1051</t>
  </si>
  <si>
    <t>30-05-2017</t>
  </si>
  <si>
    <t>ORD1052</t>
  </si>
  <si>
    <t>24-11-2017</t>
  </si>
  <si>
    <t>ORD1053</t>
  </si>
  <si>
    <t>27-06-2017</t>
  </si>
  <si>
    <t>ORD1054</t>
  </si>
  <si>
    <t>07-03-2016</t>
  </si>
  <si>
    <t>ORD1055</t>
  </si>
  <si>
    <t>26-09-2017</t>
  </si>
  <si>
    <t>ORD1056</t>
  </si>
  <si>
    <t>01-04-2016</t>
  </si>
  <si>
    <t>ORD1057</t>
  </si>
  <si>
    <t>21-02-2016</t>
  </si>
  <si>
    <t>ORD1058</t>
  </si>
  <si>
    <t>08-09-2016</t>
  </si>
  <si>
    <t>ORD1059</t>
  </si>
  <si>
    <t>ORD1060</t>
  </si>
  <si>
    <t>04-04-2018</t>
  </si>
  <si>
    <t>ORD1061</t>
  </si>
  <si>
    <t>09-08-2016</t>
  </si>
  <si>
    <t>ORD1062</t>
  </si>
  <si>
    <t>ORD1063</t>
  </si>
  <si>
    <t>14-05-2016</t>
  </si>
  <si>
    <t>ORD1064</t>
  </si>
  <si>
    <t>01-09-2016</t>
  </si>
  <si>
    <t>ORD1065</t>
  </si>
  <si>
    <t>19-10-2017</t>
  </si>
  <si>
    <t>ORD1066</t>
  </si>
  <si>
    <t>01-08-2018</t>
  </si>
  <si>
    <t>ORD1067</t>
  </si>
  <si>
    <t>17-09-2018</t>
  </si>
  <si>
    <t>ORD1068</t>
  </si>
  <si>
    <t>ORD1069</t>
  </si>
  <si>
    <t>29-03-2018</t>
  </si>
  <si>
    <t>ORD1070</t>
  </si>
  <si>
    <t>14-10-2017</t>
  </si>
  <si>
    <t>ORD1071</t>
  </si>
  <si>
    <t>15-02-2018</t>
  </si>
  <si>
    <t>ORD1072</t>
  </si>
  <si>
    <t>10-03-2017</t>
  </si>
  <si>
    <t>ORD1073</t>
  </si>
  <si>
    <t>20-10-2017</t>
  </si>
  <si>
    <t>ORD1074</t>
  </si>
  <si>
    <t>05-03-2018</t>
  </si>
  <si>
    <t>ORD1075</t>
  </si>
  <si>
    <t>24-02-2017</t>
  </si>
  <si>
    <t>ORD1076</t>
  </si>
  <si>
    <t>20-10-2016</t>
  </si>
  <si>
    <t>ORD1077</t>
  </si>
  <si>
    <t>20-09-2016</t>
  </si>
  <si>
    <t>ORD1078</t>
  </si>
  <si>
    <t>29-11-2016</t>
  </si>
  <si>
    <t>ORD1079</t>
  </si>
  <si>
    <t>25-06-2017</t>
  </si>
  <si>
    <t>ORD1080</t>
  </si>
  <si>
    <t>10-10-2017</t>
  </si>
  <si>
    <t>ORD1081</t>
  </si>
  <si>
    <t>10-09-2018</t>
  </si>
  <si>
    <t>ORD1082</t>
  </si>
  <si>
    <t>08-06-2016</t>
  </si>
  <si>
    <t>ORD1083</t>
  </si>
  <si>
    <t>12-11-2017</t>
  </si>
  <si>
    <t>ORD1084</t>
  </si>
  <si>
    <t>29-04-2016</t>
  </si>
  <si>
    <t>ORD1085</t>
  </si>
  <si>
    <t>15-05-2017</t>
  </si>
  <si>
    <t>ORD1086</t>
  </si>
  <si>
    <t>05-12-2017</t>
  </si>
  <si>
    <t>ORD1087</t>
  </si>
  <si>
    <t>14-08-2016</t>
  </si>
  <si>
    <t>ORD1088</t>
  </si>
  <si>
    <t>04-03-2016</t>
  </si>
  <si>
    <t>ORD1089</t>
  </si>
  <si>
    <t>07-09-2018</t>
  </si>
  <si>
    <t>ORD1090</t>
  </si>
  <si>
    <t>24-08-2016</t>
  </si>
  <si>
    <t>ORD1091</t>
  </si>
  <si>
    <t>29-05-2018</t>
  </si>
  <si>
    <t>ORD1092</t>
  </si>
  <si>
    <t>09-06-2018</t>
  </si>
  <si>
    <t>ORD1093</t>
  </si>
  <si>
    <t>03-05-2016</t>
  </si>
  <si>
    <t>ORD1094</t>
  </si>
  <si>
    <t>31-08-2017</t>
  </si>
  <si>
    <t>ORD1095</t>
  </si>
  <si>
    <t>02-06-2016</t>
  </si>
  <si>
    <t>ORD1096</t>
  </si>
  <si>
    <t>20-07-2018</t>
  </si>
  <si>
    <t>ORD1097</t>
  </si>
  <si>
    <t>20-04-2018</t>
  </si>
  <si>
    <t>ORD1098</t>
  </si>
  <si>
    <t>ORD1099</t>
  </si>
  <si>
    <t>11-07-2018</t>
  </si>
  <si>
    <t>ORD1100</t>
  </si>
  <si>
    <t>27-09-2016</t>
  </si>
  <si>
    <t>ORD1101</t>
  </si>
  <si>
    <t>16-03-2018</t>
  </si>
  <si>
    <t>ORD1102</t>
  </si>
  <si>
    <t>28-10-2017</t>
  </si>
  <si>
    <t>ORD1103</t>
  </si>
  <si>
    <t>24-02-2016</t>
  </si>
  <si>
    <t>ORD1104</t>
  </si>
  <si>
    <t>10-02-2017</t>
  </si>
  <si>
    <t>ORD1105</t>
  </si>
  <si>
    <t>12-01-2018</t>
  </si>
  <si>
    <t>ORD1106</t>
  </si>
  <si>
    <t>18-11-2017</t>
  </si>
  <si>
    <t>ORD1107</t>
  </si>
  <si>
    <t>27-09-2018</t>
  </si>
  <si>
    <t>ORD1108</t>
  </si>
  <si>
    <t>18-01-2016</t>
  </si>
  <si>
    <t>ORD1109</t>
  </si>
  <si>
    <t>09-04-2018</t>
  </si>
  <si>
    <t>ORD1110</t>
  </si>
  <si>
    <t>30-09-2016</t>
  </si>
  <si>
    <t>ORD1111</t>
  </si>
  <si>
    <t>09-09-2016</t>
  </si>
  <si>
    <t>ORD1112</t>
  </si>
  <si>
    <t>17-01-2017</t>
  </si>
  <si>
    <t>ORD1113</t>
  </si>
  <si>
    <t>02-03-2018</t>
  </si>
  <si>
    <t>ORD1114</t>
  </si>
  <si>
    <t>11-12-2017</t>
  </si>
  <si>
    <t>ORD1115</t>
  </si>
  <si>
    <t>04-10-2016</t>
  </si>
  <si>
    <t>ORD1116</t>
  </si>
  <si>
    <t>22-04-2018</t>
  </si>
  <si>
    <t>ORD1117</t>
  </si>
  <si>
    <t>03-01-2017</t>
  </si>
  <si>
    <t>ORD1118</t>
  </si>
  <si>
    <t>23-03-2016</t>
  </si>
  <si>
    <t>ORD1119</t>
  </si>
  <si>
    <t>17-06-2018</t>
  </si>
  <si>
    <t>ORD1120</t>
  </si>
  <si>
    <t>29-03-2017</t>
  </si>
  <si>
    <t>ORD1121</t>
  </si>
  <si>
    <t>29-09-2016</t>
  </si>
  <si>
    <t>ORD1122</t>
  </si>
  <si>
    <t>17-12-2017</t>
  </si>
  <si>
    <t>ORD1123</t>
  </si>
  <si>
    <t>21-05-2017</t>
  </si>
  <si>
    <t>ORD1124</t>
  </si>
  <si>
    <t>30-10-2016</t>
  </si>
  <si>
    <t>ORD1125</t>
  </si>
  <si>
    <t>07-06-2017</t>
  </si>
  <si>
    <t>ORD1126</t>
  </si>
  <si>
    <t>ORD1127</t>
  </si>
  <si>
    <t>06-03-2018</t>
  </si>
  <si>
    <t>ORD1128</t>
  </si>
  <si>
    <t>30-05-2016</t>
  </si>
  <si>
    <t>ORD1129</t>
  </si>
  <si>
    <t>30-03-2018</t>
  </si>
  <si>
    <t>ORD1130</t>
  </si>
  <si>
    <t>30-12-2017</t>
  </si>
  <si>
    <t>ORD1131</t>
  </si>
  <si>
    <t>30-09-2017</t>
  </si>
  <si>
    <t>ORD1132</t>
  </si>
  <si>
    <t>01-11-2016</t>
  </si>
  <si>
    <t>ORD1133</t>
  </si>
  <si>
    <t>24-12-2016</t>
  </si>
  <si>
    <t>ORD1134</t>
  </si>
  <si>
    <t>ORD1135</t>
  </si>
  <si>
    <t>16-07-2017</t>
  </si>
  <si>
    <t>ORD1136</t>
  </si>
  <si>
    <t>03-04-2016</t>
  </si>
  <si>
    <t>ORD1137</t>
  </si>
  <si>
    <t>19-03-2016</t>
  </si>
  <si>
    <t>ORD1138</t>
  </si>
  <si>
    <t>30-04-2016</t>
  </si>
  <si>
    <t>ORD1139</t>
  </si>
  <si>
    <t>25-06-2018</t>
  </si>
  <si>
    <t>ORD1140</t>
  </si>
  <si>
    <t>03-02-2017</t>
  </si>
  <si>
    <t>ORD1141</t>
  </si>
  <si>
    <t>20-01-2016</t>
  </si>
  <si>
    <t>ORD1142</t>
  </si>
  <si>
    <t>05-06-2017</t>
  </si>
  <si>
    <t>ORD1143</t>
  </si>
  <si>
    <t>28-07-2016</t>
  </si>
  <si>
    <t>ORD1144</t>
  </si>
  <si>
    <t>18-02-2016</t>
  </si>
  <si>
    <t>ORD1145</t>
  </si>
  <si>
    <t>25-03-2017</t>
  </si>
  <si>
    <t>ORD1146</t>
  </si>
  <si>
    <t>12-07-2018</t>
  </si>
  <si>
    <t>ORD1147</t>
  </si>
  <si>
    <t>03-03-2016</t>
  </si>
  <si>
    <t>ORD1148</t>
  </si>
  <si>
    <t>ORD1149</t>
  </si>
  <si>
    <t>26-07-2017</t>
  </si>
  <si>
    <t>ORD1150</t>
  </si>
  <si>
    <t>31-03-2018</t>
  </si>
  <si>
    <t>ORD1151</t>
  </si>
  <si>
    <t>23-10-2016</t>
  </si>
  <si>
    <t>ORD1152</t>
  </si>
  <si>
    <t>24-10-2017</t>
  </si>
  <si>
    <t>ORD1153</t>
  </si>
  <si>
    <t>12-04-2016</t>
  </si>
  <si>
    <t>ORD1154</t>
  </si>
  <si>
    <t>27-06-2018</t>
  </si>
  <si>
    <t>ORD1155</t>
  </si>
  <si>
    <t>11-04-2017</t>
  </si>
  <si>
    <t>ORD1156</t>
  </si>
  <si>
    <t>ORD1157</t>
  </si>
  <si>
    <t>30-03-2017</t>
  </si>
  <si>
    <t>ORD1158</t>
  </si>
  <si>
    <t>02-02-2016</t>
  </si>
  <si>
    <t>ORD1159</t>
  </si>
  <si>
    <t>10-02-2018</t>
  </si>
  <si>
    <t>ORD1160</t>
  </si>
  <si>
    <t>09-12-2016</t>
  </si>
  <si>
    <t>ORD1161</t>
  </si>
  <si>
    <t>24-06-2017</t>
  </si>
  <si>
    <t>ORD1162</t>
  </si>
  <si>
    <t>21-09-2016</t>
  </si>
  <si>
    <t>ORD1163</t>
  </si>
  <si>
    <t>14-06-2017</t>
  </si>
  <si>
    <t>ORD1164</t>
  </si>
  <si>
    <t>20-08-2016</t>
  </si>
  <si>
    <t>ORD1165</t>
  </si>
  <si>
    <t>09-05-2017</t>
  </si>
  <si>
    <t>ORD1166</t>
  </si>
  <si>
    <t>ORD1167</t>
  </si>
  <si>
    <t>16-11-2016</t>
  </si>
  <si>
    <t>ORD1168</t>
  </si>
  <si>
    <t>13-04-2016</t>
  </si>
  <si>
    <t>ORD1169</t>
  </si>
  <si>
    <t>18-05-2018</t>
  </si>
  <si>
    <t>ORD1170</t>
  </si>
  <si>
    <t>07-03-2017</t>
  </si>
  <si>
    <t>ORD1171</t>
  </si>
  <si>
    <t>13-06-2017</t>
  </si>
  <si>
    <t>ORD1172</t>
  </si>
  <si>
    <t>09-01-2017</t>
  </si>
  <si>
    <t>ORD1173</t>
  </si>
  <si>
    <t>28-03-2016</t>
  </si>
  <si>
    <t>ORD1174</t>
  </si>
  <si>
    <t>29-03-2016</t>
  </si>
  <si>
    <t>ORD1175</t>
  </si>
  <si>
    <t>06-04-2017</t>
  </si>
  <si>
    <t>ORD1176</t>
  </si>
  <si>
    <t>29-07-2018</t>
  </si>
  <si>
    <t>ORD1177</t>
  </si>
  <si>
    <t>13-02-2017</t>
  </si>
  <si>
    <t>ORD1178</t>
  </si>
  <si>
    <t>06-10-2017</t>
  </si>
  <si>
    <t>ORD1179</t>
  </si>
  <si>
    <t>18-07-2017</t>
  </si>
  <si>
    <t>ORD1180</t>
  </si>
  <si>
    <t>02-11-2017</t>
  </si>
  <si>
    <t>ORD1181</t>
  </si>
  <si>
    <t>ORD1182</t>
  </si>
  <si>
    <t>06-05-2017</t>
  </si>
  <si>
    <t>ORD1183</t>
  </si>
  <si>
    <t>ORD1184</t>
  </si>
  <si>
    <t>24-02-2018</t>
  </si>
  <si>
    <t>ORD1185</t>
  </si>
  <si>
    <t>27-12-2017</t>
  </si>
  <si>
    <t>ORD1186</t>
  </si>
  <si>
    <t>23-04-2018</t>
  </si>
  <si>
    <t>ORD1187</t>
  </si>
  <si>
    <t>06-12-2016</t>
  </si>
  <si>
    <t>ORD1188</t>
  </si>
  <si>
    <t>18-11-2016</t>
  </si>
  <si>
    <t>ORD1189</t>
  </si>
  <si>
    <t>05-09-2018</t>
  </si>
  <si>
    <t>ORD1190</t>
  </si>
  <si>
    <t>16-06-2017</t>
  </si>
  <si>
    <t>ORD1191</t>
  </si>
  <si>
    <t>29-10-2016</t>
  </si>
  <si>
    <t>ORD1192</t>
  </si>
  <si>
    <t>15-01-2018</t>
  </si>
  <si>
    <t>ORD1193</t>
  </si>
  <si>
    <t>28-01-2018</t>
  </si>
  <si>
    <t>ORD1194</t>
  </si>
  <si>
    <t>10-06-2016</t>
  </si>
  <si>
    <t>ORD1195</t>
  </si>
  <si>
    <t>20-06-2018</t>
  </si>
  <si>
    <t>ORD1196</t>
  </si>
  <si>
    <t>05-03-2016</t>
  </si>
  <si>
    <t>ORD1197</t>
  </si>
  <si>
    <t>ORD1198</t>
  </si>
  <si>
    <t>26-03-2016</t>
  </si>
  <si>
    <t>ORD1199</t>
  </si>
  <si>
    <t>ORD1200</t>
  </si>
  <si>
    <t>31-12-2017</t>
  </si>
  <si>
    <t>ORD1201</t>
  </si>
  <si>
    <t>20-08-2018</t>
  </si>
  <si>
    <t>ORD1202</t>
  </si>
  <si>
    <t>12-06-2016</t>
  </si>
  <si>
    <t>ORD1203</t>
  </si>
  <si>
    <t>21-07-2017</t>
  </si>
  <si>
    <t>ORD1204</t>
  </si>
  <si>
    <t>12-05-2018</t>
  </si>
  <si>
    <t>ORD1205</t>
  </si>
  <si>
    <t>01-05-2017</t>
  </si>
  <si>
    <t>ORD1206</t>
  </si>
  <si>
    <t>19-02-2018</t>
  </si>
  <si>
    <t>ORD1207</t>
  </si>
  <si>
    <t>22-02-2017</t>
  </si>
  <si>
    <t>ORD1208</t>
  </si>
  <si>
    <t>18-12-2017</t>
  </si>
  <si>
    <t>ORD1209</t>
  </si>
  <si>
    <t>12-06-2017</t>
  </si>
  <si>
    <t>ORD1210</t>
  </si>
  <si>
    <t>25-06-2016</t>
  </si>
  <si>
    <t>ORD1211</t>
  </si>
  <si>
    <t>30-05-2018</t>
  </si>
  <si>
    <t>ORD1212</t>
  </si>
  <si>
    <t>03-05-2018</t>
  </si>
  <si>
    <t>ORD1213</t>
  </si>
  <si>
    <t>22-12-2016</t>
  </si>
  <si>
    <t>ORD1214</t>
  </si>
  <si>
    <t>15-07-2018</t>
  </si>
  <si>
    <t>ORD1215</t>
  </si>
  <si>
    <t>13-03-2017</t>
  </si>
  <si>
    <t>ORD1216</t>
  </si>
  <si>
    <t>22-01-2016</t>
  </si>
  <si>
    <t>ORD1217</t>
  </si>
  <si>
    <t>05-08-2016</t>
  </si>
  <si>
    <t>ORD1218</t>
  </si>
  <si>
    <t>ORD1219</t>
  </si>
  <si>
    <t>19-09-2017</t>
  </si>
  <si>
    <t>ORD1220</t>
  </si>
  <si>
    <t>ORD1221</t>
  </si>
  <si>
    <t>14-04-2018</t>
  </si>
  <si>
    <t>ORD1222</t>
  </si>
  <si>
    <t>26-05-2018</t>
  </si>
  <si>
    <t>ORD1223</t>
  </si>
  <si>
    <t>ORD1224</t>
  </si>
  <si>
    <t>ORD1225</t>
  </si>
  <si>
    <t>01-02-2017</t>
  </si>
  <si>
    <t>ORD1226</t>
  </si>
  <si>
    <t>26-06-2017</t>
  </si>
  <si>
    <t>ORD1227</t>
  </si>
  <si>
    <t>01-03-2018</t>
  </si>
  <si>
    <t>ORD1228</t>
  </si>
  <si>
    <t>13-05-2016</t>
  </si>
  <si>
    <t>ORD1229</t>
  </si>
  <si>
    <t>12-11-2016</t>
  </si>
  <si>
    <t>ORD1230</t>
  </si>
  <si>
    <t>13-02-2016</t>
  </si>
  <si>
    <t>ORD1231</t>
  </si>
  <si>
    <t>06-06-2017</t>
  </si>
  <si>
    <t>ORD1232</t>
  </si>
  <si>
    <t>ORD1233</t>
  </si>
  <si>
    <t>16-02-2016</t>
  </si>
  <si>
    <t>ORD1234</t>
  </si>
  <si>
    <t>09-06-2016</t>
  </si>
  <si>
    <t>ORD1235</t>
  </si>
  <si>
    <t>10-09-2017</t>
  </si>
  <si>
    <t>ORD1236</t>
  </si>
  <si>
    <t>ORD1237</t>
  </si>
  <si>
    <t>ORD1238</t>
  </si>
  <si>
    <t>19-09-2018</t>
  </si>
  <si>
    <t>ORD1239</t>
  </si>
  <si>
    <t>16-09-2016</t>
  </si>
  <si>
    <t>ORD1240</t>
  </si>
  <si>
    <t>03-05-2017</t>
  </si>
  <si>
    <t>ORD1241</t>
  </si>
  <si>
    <t>28-03-2018</t>
  </si>
  <si>
    <t>ORD1242</t>
  </si>
  <si>
    <t>25-04-2018</t>
  </si>
  <si>
    <t>ORD1243</t>
  </si>
  <si>
    <t>ORD1244</t>
  </si>
  <si>
    <t>29-09-2017</t>
  </si>
  <si>
    <t>ORD1245</t>
  </si>
  <si>
    <t>ORD1246</t>
  </si>
  <si>
    <t>ORD1247</t>
  </si>
  <si>
    <t>06-05-2018</t>
  </si>
  <si>
    <t>ORD1248</t>
  </si>
  <si>
    <t>20-05-2016</t>
  </si>
  <si>
    <t>ORD1249</t>
  </si>
  <si>
    <t>ORD1250</t>
  </si>
  <si>
    <t>12-10-2016</t>
  </si>
  <si>
    <t>ORD1251</t>
  </si>
  <si>
    <t>04-06-2016</t>
  </si>
  <si>
    <t>ORD1252</t>
  </si>
  <si>
    <t>13-05-2017</t>
  </si>
  <si>
    <t>ORD1253</t>
  </si>
  <si>
    <t>22-02-2016</t>
  </si>
  <si>
    <t>ORD1254</t>
  </si>
  <si>
    <t>22-06-2016</t>
  </si>
  <si>
    <t>ORD1255</t>
  </si>
  <si>
    <t>02-12-2016</t>
  </si>
  <si>
    <t>ORD1256</t>
  </si>
  <si>
    <t>24-03-2017</t>
  </si>
  <si>
    <t>ORD1257</t>
  </si>
  <si>
    <t>21-07-2016</t>
  </si>
  <si>
    <t>ORD1258</t>
  </si>
  <si>
    <t>10-08-2017</t>
  </si>
  <si>
    <t>ORD1259</t>
  </si>
  <si>
    <t>02-01-2018</t>
  </si>
  <si>
    <t>ORD1260</t>
  </si>
  <si>
    <t>20-12-2017</t>
  </si>
  <si>
    <t>ORD1261</t>
  </si>
  <si>
    <t>10-05-2016</t>
  </si>
  <si>
    <t>ORD1262</t>
  </si>
  <si>
    <t>24-01-2017</t>
  </si>
  <si>
    <t>ORD1263</t>
  </si>
  <si>
    <t>11-07-2017</t>
  </si>
  <si>
    <t>ORD1264</t>
  </si>
  <si>
    <t>18-06-2016</t>
  </si>
  <si>
    <t>ORD1265</t>
  </si>
  <si>
    <t>18-10-2017</t>
  </si>
  <si>
    <t>ORD1266</t>
  </si>
  <si>
    <t>ORD1267</t>
  </si>
  <si>
    <t>20-08-2017</t>
  </si>
  <si>
    <t>ORD1268</t>
  </si>
  <si>
    <t>25-11-2016</t>
  </si>
  <si>
    <t>ORD1269</t>
  </si>
  <si>
    <t>20-05-2017</t>
  </si>
  <si>
    <t>ORD1270</t>
  </si>
  <si>
    <t>26-11-2017</t>
  </si>
  <si>
    <t>ORD1271</t>
  </si>
  <si>
    <t>22-12-2017</t>
  </si>
  <si>
    <t>ORD1272</t>
  </si>
  <si>
    <t>15-10-2016</t>
  </si>
  <si>
    <t>ORD1273</t>
  </si>
  <si>
    <t>06-09-2017</t>
  </si>
  <si>
    <t>ORD1274</t>
  </si>
  <si>
    <t>30-08-2017</t>
  </si>
  <si>
    <t>ORD1275</t>
  </si>
  <si>
    <t>29-06-2016</t>
  </si>
  <si>
    <t>ORD1276</t>
  </si>
  <si>
    <t>23-05-2016</t>
  </si>
  <si>
    <t>ORD1277</t>
  </si>
  <si>
    <t>ORD1278</t>
  </si>
  <si>
    <t>21-01-2016</t>
  </si>
  <si>
    <t>ORD1279</t>
  </si>
  <si>
    <t>29-01-2016</t>
  </si>
  <si>
    <t>ORD1280</t>
  </si>
  <si>
    <t>ORD1281</t>
  </si>
  <si>
    <t>25-09-2016</t>
  </si>
  <si>
    <t>ORD1282</t>
  </si>
  <si>
    <t>17-05-2018</t>
  </si>
  <si>
    <t>ORD1283</t>
  </si>
  <si>
    <t>30-07-2017</t>
  </si>
  <si>
    <t>ORD1284</t>
  </si>
  <si>
    <t>03-07-2016</t>
  </si>
  <si>
    <t>ORD1285</t>
  </si>
  <si>
    <t>01-08-2016</t>
  </si>
  <si>
    <t>ORD1286</t>
  </si>
  <si>
    <t>19-01-2016</t>
  </si>
  <si>
    <t>ORD1287</t>
  </si>
  <si>
    <t>ORD1288</t>
  </si>
  <si>
    <t>15-09-2018</t>
  </si>
  <si>
    <t>ORD1289</t>
  </si>
  <si>
    <t>ORD1290</t>
  </si>
  <si>
    <t>08-09-2017</t>
  </si>
  <si>
    <t>ORD1291</t>
  </si>
  <si>
    <t>08-04-2017</t>
  </si>
  <si>
    <t>ORD1292</t>
  </si>
  <si>
    <t>10-12-2016</t>
  </si>
  <si>
    <t>ORD1293</t>
  </si>
  <si>
    <t>25-05-2016</t>
  </si>
  <si>
    <t>ORD1294</t>
  </si>
  <si>
    <t>08-05-2017</t>
  </si>
  <si>
    <t>ORD1295</t>
  </si>
  <si>
    <t>12-08-2018</t>
  </si>
  <si>
    <t>ORD1296</t>
  </si>
  <si>
    <t>08-01-2017</t>
  </si>
  <si>
    <t>ORD1297</t>
  </si>
  <si>
    <t>08-02-2018</t>
  </si>
  <si>
    <t>ORD1298</t>
  </si>
  <si>
    <t>18-04-2017</t>
  </si>
  <si>
    <t>ORD1299</t>
  </si>
  <si>
    <t>ORD1300</t>
  </si>
  <si>
    <t>19-11-2016</t>
  </si>
  <si>
    <t>ORD1301</t>
  </si>
  <si>
    <t>09-02-2017</t>
  </si>
  <si>
    <t>ORD1302</t>
  </si>
  <si>
    <t>14-02-2016</t>
  </si>
  <si>
    <t>ORD1303</t>
  </si>
  <si>
    <t>05-07-2016</t>
  </si>
  <si>
    <t>ORD1304</t>
  </si>
  <si>
    <t>18-04-2016</t>
  </si>
  <si>
    <t>ORD1305</t>
  </si>
  <si>
    <t>17-07-2016</t>
  </si>
  <si>
    <t>ORD1306</t>
  </si>
  <si>
    <t>06-02-2017</t>
  </si>
  <si>
    <t>ORD1307</t>
  </si>
  <si>
    <t>07-08-2018</t>
  </si>
  <si>
    <t>ORD1308</t>
  </si>
  <si>
    <t>11-01-2018</t>
  </si>
  <si>
    <t>ORD1309</t>
  </si>
  <si>
    <t>19-02-2017</t>
  </si>
  <si>
    <t>ORD1310</t>
  </si>
  <si>
    <t>20-02-2017</t>
  </si>
  <si>
    <t>ORD1311</t>
  </si>
  <si>
    <t>16-05-2018</t>
  </si>
  <si>
    <t>ORD1312</t>
  </si>
  <si>
    <t>25-11-2017</t>
  </si>
  <si>
    <t>ORD1313</t>
  </si>
  <si>
    <t>25-07-2016</t>
  </si>
  <si>
    <t>ORD1314</t>
  </si>
  <si>
    <t>ORD1315</t>
  </si>
  <si>
    <t>ORD1316</t>
  </si>
  <si>
    <t>ORD1317</t>
  </si>
  <si>
    <t>ORD1318</t>
  </si>
  <si>
    <t>20-11-2017</t>
  </si>
  <si>
    <t>ORD1319</t>
  </si>
  <si>
    <t>02-03-2017</t>
  </si>
  <si>
    <t>ORD1320</t>
  </si>
  <si>
    <t>10-04-2018</t>
  </si>
  <si>
    <t>ORD1321</t>
  </si>
  <si>
    <t>05-03-2017</t>
  </si>
  <si>
    <t>ORD1322</t>
  </si>
  <si>
    <t>06-08-2016</t>
  </si>
  <si>
    <t>ORD1323</t>
  </si>
  <si>
    <t>21-07-2018</t>
  </si>
  <si>
    <t>ORD1324</t>
  </si>
  <si>
    <t>30-10-2017</t>
  </si>
  <si>
    <t>ORD1325</t>
  </si>
  <si>
    <t>16-02-2017</t>
  </si>
  <si>
    <t>ORD1326</t>
  </si>
  <si>
    <t>12-05-2017</t>
  </si>
  <si>
    <t>ORD1327</t>
  </si>
  <si>
    <t>27-02-2017</t>
  </si>
  <si>
    <t>ORD1328</t>
  </si>
  <si>
    <t>07-09-2017</t>
  </si>
  <si>
    <t>ORD1329</t>
  </si>
  <si>
    <t>17-04-2017</t>
  </si>
  <si>
    <t>ORD1330</t>
  </si>
  <si>
    <t>24-08-2017</t>
  </si>
  <si>
    <t>ORD1331</t>
  </si>
  <si>
    <t>ORD1332</t>
  </si>
  <si>
    <t>28-05-2017</t>
  </si>
  <si>
    <t>ORD1333</t>
  </si>
  <si>
    <t>16-11-2017</t>
  </si>
  <si>
    <t>ORD1334</t>
  </si>
  <si>
    <t>28-01-2016</t>
  </si>
  <si>
    <t>ORD1335</t>
  </si>
  <si>
    <t>ORD1336</t>
  </si>
  <si>
    <t>15-07-2017</t>
  </si>
  <si>
    <t>ORD1337</t>
  </si>
  <si>
    <t>06-04-2018</t>
  </si>
  <si>
    <t>ORD1338</t>
  </si>
  <si>
    <t>ORD1339</t>
  </si>
  <si>
    <t>13-07-2018</t>
  </si>
  <si>
    <t>ORD1340</t>
  </si>
  <si>
    <t>01-06-2016</t>
  </si>
  <si>
    <t>ORD1341</t>
  </si>
  <si>
    <t>ORD1342</t>
  </si>
  <si>
    <t>22-03-2018</t>
  </si>
  <si>
    <t>ORD1343</t>
  </si>
  <si>
    <t>25-05-2018</t>
  </si>
  <si>
    <t>ORD1344</t>
  </si>
  <si>
    <t>16-07-2018</t>
  </si>
  <si>
    <t>ORD1345</t>
  </si>
  <si>
    <t>25-10-2017</t>
  </si>
  <si>
    <t>ORD1346</t>
  </si>
  <si>
    <t>22-05-2016</t>
  </si>
  <si>
    <t>ORD1347</t>
  </si>
  <si>
    <t>26-08-2016</t>
  </si>
  <si>
    <t>ORD1348</t>
  </si>
  <si>
    <t>19-04-2016</t>
  </si>
  <si>
    <t>ORD1349</t>
  </si>
  <si>
    <t>06-01-2016</t>
  </si>
  <si>
    <t>ORD1350</t>
  </si>
  <si>
    <t>ORD1351</t>
  </si>
  <si>
    <t>15-02-2017</t>
  </si>
  <si>
    <t>ORD1352</t>
  </si>
  <si>
    <t>14-03-2016</t>
  </si>
  <si>
    <t>ORD1353</t>
  </si>
  <si>
    <t>10-02-2016</t>
  </si>
  <si>
    <t>ORD1354</t>
  </si>
  <si>
    <t>ORD1355</t>
  </si>
  <si>
    <t>01-07-2016</t>
  </si>
  <si>
    <t>ORD1356</t>
  </si>
  <si>
    <t>26-02-2018</t>
  </si>
  <si>
    <t>ORD1357</t>
  </si>
  <si>
    <t>24-06-2018</t>
  </si>
  <si>
    <t>ORD1358</t>
  </si>
  <si>
    <t>24-11-2016</t>
  </si>
  <si>
    <t>ORD1359</t>
  </si>
  <si>
    <t>ORD1360</t>
  </si>
  <si>
    <t>ORD1361</t>
  </si>
  <si>
    <t>15-09-2016</t>
  </si>
  <si>
    <t>ORD1362</t>
  </si>
  <si>
    <t>22-08-2018</t>
  </si>
  <si>
    <t>ORD1363</t>
  </si>
  <si>
    <t>21-11-2016</t>
  </si>
  <si>
    <t>ORD1364</t>
  </si>
  <si>
    <t>21-03-2017</t>
  </si>
  <si>
    <t>ORD1365</t>
  </si>
  <si>
    <t>08-03-2017</t>
  </si>
  <si>
    <t>ORD1366</t>
  </si>
  <si>
    <t>05-04-2016</t>
  </si>
  <si>
    <t>ORD1367</t>
  </si>
  <si>
    <t>24-09-2018</t>
  </si>
  <si>
    <t>ORD1368</t>
  </si>
  <si>
    <t>13-11-2016</t>
  </si>
  <si>
    <t>ORD1369</t>
  </si>
  <si>
    <t>16-03-2017</t>
  </si>
  <si>
    <t>ORD1370</t>
  </si>
  <si>
    <t>01-02-2016</t>
  </si>
  <si>
    <t>ORD1371</t>
  </si>
  <si>
    <t>17-10-2017</t>
  </si>
  <si>
    <t>ORD1372</t>
  </si>
  <si>
    <t>ORD1373</t>
  </si>
  <si>
    <t>28-06-2016</t>
  </si>
  <si>
    <t>ORD1374</t>
  </si>
  <si>
    <t>24-09-2017</t>
  </si>
  <si>
    <t>ORD1375</t>
  </si>
  <si>
    <t>02-04-2018</t>
  </si>
  <si>
    <t>ORD1376</t>
  </si>
  <si>
    <t>26-02-2016</t>
  </si>
  <si>
    <t>ORD1377</t>
  </si>
  <si>
    <t>09-07-2018</t>
  </si>
  <si>
    <t>ORD1378</t>
  </si>
  <si>
    <t>31-05-2017</t>
  </si>
  <si>
    <t>ORD1379</t>
  </si>
  <si>
    <t>11-02-2017</t>
  </si>
  <si>
    <t>ORD1380</t>
  </si>
  <si>
    <t>ORD1381</t>
  </si>
  <si>
    <t>02-07-2017</t>
  </si>
  <si>
    <t>ORD1382</t>
  </si>
  <si>
    <t>17-09-2016</t>
  </si>
  <si>
    <t>ORD1383</t>
  </si>
  <si>
    <t>12-01-2017</t>
  </si>
  <si>
    <t>ORD1384</t>
  </si>
  <si>
    <t>21-08-2018</t>
  </si>
  <si>
    <t>ORD1385</t>
  </si>
  <si>
    <t>ORD1386</t>
  </si>
  <si>
    <t>25-09-2018</t>
  </si>
  <si>
    <t>ORD1387</t>
  </si>
  <si>
    <t>01-01-2018</t>
  </si>
  <si>
    <t>ORD1388</t>
  </si>
  <si>
    <t>17-03-2016</t>
  </si>
  <si>
    <t>ORD1389</t>
  </si>
  <si>
    <t>ORD1390</t>
  </si>
  <si>
    <t>ORD1391</t>
  </si>
  <si>
    <t>08-06-2018</t>
  </si>
  <si>
    <t>ORD1392</t>
  </si>
  <si>
    <t>31-07-2018</t>
  </si>
  <si>
    <t>ORD1393</t>
  </si>
  <si>
    <t>ORD1394</t>
  </si>
  <si>
    <t>07-02-2017</t>
  </si>
  <si>
    <t>ORD1395</t>
  </si>
  <si>
    <t>ORD1396</t>
  </si>
  <si>
    <t>ORD1397</t>
  </si>
  <si>
    <t>04-06-2017</t>
  </si>
  <si>
    <t>ORD1398</t>
  </si>
  <si>
    <t>13-07-2017</t>
  </si>
  <si>
    <t>ORD1399</t>
  </si>
  <si>
    <t>03-07-2017</t>
  </si>
  <si>
    <t>ORD1400</t>
  </si>
  <si>
    <t>18-08-2018</t>
  </si>
  <si>
    <t>ORD1401</t>
  </si>
  <si>
    <t>26-05-2016</t>
  </si>
  <si>
    <t>ORD1402</t>
  </si>
  <si>
    <t>ORD1403</t>
  </si>
  <si>
    <t>27-08-2016</t>
  </si>
  <si>
    <t>ORD1404</t>
  </si>
  <si>
    <t>22-03-2017</t>
  </si>
  <si>
    <t>ORD1405</t>
  </si>
  <si>
    <t>30-01-2016</t>
  </si>
  <si>
    <t>ORD1406</t>
  </si>
  <si>
    <t>ORD1407</t>
  </si>
  <si>
    <t>ORD1408</t>
  </si>
  <si>
    <t>ORD1409</t>
  </si>
  <si>
    <t>ORD1410</t>
  </si>
  <si>
    <t>12-07-2017</t>
  </si>
  <si>
    <t>ORD1411</t>
  </si>
  <si>
    <t>26-10-2017</t>
  </si>
  <si>
    <t>ORD1412</t>
  </si>
  <si>
    <t>ORD1413</t>
  </si>
  <si>
    <t>ORD1414</t>
  </si>
  <si>
    <t>01-09-2017</t>
  </si>
  <si>
    <t>ORD1415</t>
  </si>
  <si>
    <t>11-06-2017</t>
  </si>
  <si>
    <t>ORD1416</t>
  </si>
  <si>
    <t>18-04-2018</t>
  </si>
  <si>
    <t>ORD1417</t>
  </si>
  <si>
    <t>ORD1418</t>
  </si>
  <si>
    <t>ORD1419</t>
  </si>
  <si>
    <t>13-09-2017</t>
  </si>
  <si>
    <t>ORD1420</t>
  </si>
  <si>
    <t>21-09-2018</t>
  </si>
  <si>
    <t>ORD1421</t>
  </si>
  <si>
    <t>ORD1422</t>
  </si>
  <si>
    <t>10-06-2017</t>
  </si>
  <si>
    <t>ORD1423</t>
  </si>
  <si>
    <t>ORD1424</t>
  </si>
  <si>
    <t>27-10-2017</t>
  </si>
  <si>
    <t>ORD1425</t>
  </si>
  <si>
    <t>28-08-2018</t>
  </si>
  <si>
    <t>ORD1426</t>
  </si>
  <si>
    <t>02-09-2017</t>
  </si>
  <si>
    <t>ORD1427</t>
  </si>
  <si>
    <t>26-11-2016</t>
  </si>
  <si>
    <t>ORD1428</t>
  </si>
  <si>
    <t>ORD1429</t>
  </si>
  <si>
    <t>ORD1430</t>
  </si>
  <si>
    <t>18-10-2016</t>
  </si>
  <si>
    <t>ORD1431</t>
  </si>
  <si>
    <t>ORD1432</t>
  </si>
  <si>
    <t>30-04-2017</t>
  </si>
  <si>
    <t>ORD1433</t>
  </si>
  <si>
    <t>29-05-2017</t>
  </si>
  <si>
    <t>ORD1434</t>
  </si>
  <si>
    <t>12-05-2016</t>
  </si>
  <si>
    <t>ORD1435</t>
  </si>
  <si>
    <t>25-02-2018</t>
  </si>
  <si>
    <t>ORD1436</t>
  </si>
  <si>
    <t>ORD1437</t>
  </si>
  <si>
    <t>ORD1438</t>
  </si>
  <si>
    <t>31-10-2017</t>
  </si>
  <si>
    <t>ORD1439</t>
  </si>
  <si>
    <t>08-06-2017</t>
  </si>
  <si>
    <t>ORD1440</t>
  </si>
  <si>
    <t>12-09-2017</t>
  </si>
  <si>
    <t>ORD1441</t>
  </si>
  <si>
    <t>26-06-2018</t>
  </si>
  <si>
    <t>ORD1442</t>
  </si>
  <si>
    <t>ORD1443</t>
  </si>
  <si>
    <t>15-01-2016</t>
  </si>
  <si>
    <t>ORD1444</t>
  </si>
  <si>
    <t>01-07-2018</t>
  </si>
  <si>
    <t>ORD1445</t>
  </si>
  <si>
    <t>03-06-2018</t>
  </si>
  <si>
    <t>ORD1446</t>
  </si>
  <si>
    <t>ORD1447</t>
  </si>
  <si>
    <t>ORD1448</t>
  </si>
  <si>
    <t>02-07-2018</t>
  </si>
  <si>
    <t>ORD1449</t>
  </si>
  <si>
    <t>26-03-2017</t>
  </si>
  <si>
    <t>ORD1450</t>
  </si>
  <si>
    <t>29-04-2017</t>
  </si>
  <si>
    <t>ORD1451</t>
  </si>
  <si>
    <t>23-08-2016</t>
  </si>
  <si>
    <t>ORD1452</t>
  </si>
  <si>
    <t>18-07-2016</t>
  </si>
  <si>
    <t>ORD1453</t>
  </si>
  <si>
    <t>16-12-2016</t>
  </si>
  <si>
    <t>ORD1454</t>
  </si>
  <si>
    <t>16-05-2017</t>
  </si>
  <si>
    <t>ORD1455</t>
  </si>
  <si>
    <t>ORD1456</t>
  </si>
  <si>
    <t>ORD1457</t>
  </si>
  <si>
    <t>ORD1458</t>
  </si>
  <si>
    <t>13-02-2018</t>
  </si>
  <si>
    <t>ORD1459</t>
  </si>
  <si>
    <t>14-04-2016</t>
  </si>
  <si>
    <t>ORD1460</t>
  </si>
  <si>
    <t>ORD1461</t>
  </si>
  <si>
    <t>05-05-2016</t>
  </si>
  <si>
    <t>ORD1462</t>
  </si>
  <si>
    <t>11-05-2017</t>
  </si>
  <si>
    <t>ORD1463</t>
  </si>
  <si>
    <t>ORD1464</t>
  </si>
  <si>
    <t>22-04-2016</t>
  </si>
  <si>
    <t>ORD1465</t>
  </si>
  <si>
    <t>04-01-2017</t>
  </si>
  <si>
    <t>ORD1466</t>
  </si>
  <si>
    <t>18-06-2017</t>
  </si>
  <si>
    <t>ORD1467</t>
  </si>
  <si>
    <t>09-11-2016</t>
  </si>
  <si>
    <t>ORD1468</t>
  </si>
  <si>
    <t>04-11-2017</t>
  </si>
  <si>
    <t>ORD1469</t>
  </si>
  <si>
    <t>ORD1470</t>
  </si>
  <si>
    <t>30-06-2017</t>
  </si>
  <si>
    <t>ORD1471</t>
  </si>
  <si>
    <t>04-02-2016</t>
  </si>
  <si>
    <t>ORD1472</t>
  </si>
  <si>
    <t>15-06-2017</t>
  </si>
  <si>
    <t>ORD1473</t>
  </si>
  <si>
    <t>04-11-2016</t>
  </si>
  <si>
    <t>ORD1474</t>
  </si>
  <si>
    <t>ORD1475</t>
  </si>
  <si>
    <t>ORD1476</t>
  </si>
  <si>
    <t>20-03-2017</t>
  </si>
  <si>
    <t>ORD1477</t>
  </si>
  <si>
    <t>ORD1478</t>
  </si>
  <si>
    <t>ORD1479</t>
  </si>
  <si>
    <t>ORD1480</t>
  </si>
  <si>
    <t>06-02-2018</t>
  </si>
  <si>
    <t>ORD1481</t>
  </si>
  <si>
    <t>ORD1482</t>
  </si>
  <si>
    <t>ORD1483</t>
  </si>
  <si>
    <t>12-09-2018</t>
  </si>
  <si>
    <t>ORD1484</t>
  </si>
  <si>
    <t>ORD1485</t>
  </si>
  <si>
    <t>17-03-2017</t>
  </si>
  <si>
    <t>ORD1486</t>
  </si>
  <si>
    <t>28-03-2017</t>
  </si>
  <si>
    <t>ORD1487</t>
  </si>
  <si>
    <t>ORD1488</t>
  </si>
  <si>
    <t>07-12-2017</t>
  </si>
  <si>
    <t>ORD1489</t>
  </si>
  <si>
    <t>ORD1490</t>
  </si>
  <si>
    <t>10-03-2016</t>
  </si>
  <si>
    <t>ORD1491</t>
  </si>
  <si>
    <t>31-01-2017</t>
  </si>
  <si>
    <t>ORD1492</t>
  </si>
  <si>
    <t>ORD1493</t>
  </si>
  <si>
    <t>ORD1494</t>
  </si>
  <si>
    <t>21-08-2017</t>
  </si>
  <si>
    <t>ORD1495</t>
  </si>
  <si>
    <t>13-09-2016</t>
  </si>
  <si>
    <t>ORD1496</t>
  </si>
  <si>
    <t>ORD1497</t>
  </si>
  <si>
    <t>15-02-2016</t>
  </si>
  <si>
    <t>ORD1498</t>
  </si>
  <si>
    <t>09-09-2018</t>
  </si>
  <si>
    <t>ORD1499</t>
  </si>
  <si>
    <t>ORD1500</t>
  </si>
  <si>
    <t>ORD1501</t>
  </si>
  <si>
    <t>23-10-2017</t>
  </si>
  <si>
    <t>ORD1502</t>
  </si>
  <si>
    <t>13-05-2018</t>
  </si>
  <si>
    <t>ORD1503</t>
  </si>
  <si>
    <t>05-04-2018</t>
  </si>
  <si>
    <t>ORD1504</t>
  </si>
  <si>
    <t>02-08-2016</t>
  </si>
  <si>
    <t>ORD1505</t>
  </si>
  <si>
    <t>ORD1506</t>
  </si>
  <si>
    <t>ORD1507</t>
  </si>
  <si>
    <t>ORD1508</t>
  </si>
  <si>
    <t>20-03-2016</t>
  </si>
  <si>
    <t>ORD1509</t>
  </si>
  <si>
    <t>24-07-2017</t>
  </si>
  <si>
    <t>ORD1510</t>
  </si>
  <si>
    <t>ORD1511</t>
  </si>
  <si>
    <t>ORD1512</t>
  </si>
  <si>
    <t>29-07-2017</t>
  </si>
  <si>
    <t>ORD1513</t>
  </si>
  <si>
    <t>29-02-2016</t>
  </si>
  <si>
    <t>ORD1514</t>
  </si>
  <si>
    <t>26-08-2017</t>
  </si>
  <si>
    <t>ORD1515</t>
  </si>
  <si>
    <t>26-10-2016</t>
  </si>
  <si>
    <t>ORD1516</t>
  </si>
  <si>
    <t>25-07-2018</t>
  </si>
  <si>
    <t>ORD1517</t>
  </si>
  <si>
    <t>ORD1518</t>
  </si>
  <si>
    <t>ORD1519</t>
  </si>
  <si>
    <t>ORD1520</t>
  </si>
  <si>
    <t>ORD1521</t>
  </si>
  <si>
    <t>17-12-2016</t>
  </si>
  <si>
    <t>ORD1522</t>
  </si>
  <si>
    <t>23-05-2017</t>
  </si>
  <si>
    <t>ORD1523</t>
  </si>
  <si>
    <t>24-07-2016</t>
  </si>
  <si>
    <t>ORD1524</t>
  </si>
  <si>
    <t>19-03-2017</t>
  </si>
  <si>
    <t>ORD1525</t>
  </si>
  <si>
    <t>ORD1526</t>
  </si>
  <si>
    <t>ORD1527</t>
  </si>
  <si>
    <t>ORD1528</t>
  </si>
  <si>
    <t>27-07-2016</t>
  </si>
  <si>
    <t>ORD1529</t>
  </si>
  <si>
    <t>10-03-2018</t>
  </si>
  <si>
    <t>ORD1530</t>
  </si>
  <si>
    <t>01-06-2017</t>
  </si>
  <si>
    <t>ORD1531</t>
  </si>
  <si>
    <t>ORD1532</t>
  </si>
  <si>
    <t>02-10-2017</t>
  </si>
  <si>
    <t>ORD1533</t>
  </si>
  <si>
    <t>ORD1534</t>
  </si>
  <si>
    <t>ORD1535</t>
  </si>
  <si>
    <t>10-09-2016</t>
  </si>
  <si>
    <t>ORD1536</t>
  </si>
  <si>
    <t>ORD1537</t>
  </si>
  <si>
    <t>20-02-2018</t>
  </si>
  <si>
    <t>ORD1538</t>
  </si>
  <si>
    <t>05-04-2017</t>
  </si>
  <si>
    <t>ORD1539</t>
  </si>
  <si>
    <t>29-01-2018</t>
  </si>
  <si>
    <t>ORD1540</t>
  </si>
  <si>
    <t>ORD1541</t>
  </si>
  <si>
    <t>ORD1542</t>
  </si>
  <si>
    <t>14-10-2016</t>
  </si>
  <si>
    <t>ORD1543</t>
  </si>
  <si>
    <t>04-12-2016</t>
  </si>
  <si>
    <t>ORD1544</t>
  </si>
  <si>
    <t>15-09-2017</t>
  </si>
  <si>
    <t>ORD1545</t>
  </si>
  <si>
    <t>07-05-2017</t>
  </si>
  <si>
    <t>ORD1546</t>
  </si>
  <si>
    <t>07-02-2018</t>
  </si>
  <si>
    <t>ORD1547</t>
  </si>
  <si>
    <t>31-01-2018</t>
  </si>
  <si>
    <t>ORD1548</t>
  </si>
  <si>
    <t>25-12-2017</t>
  </si>
  <si>
    <t>ORD1549</t>
  </si>
  <si>
    <t>23-04-2017</t>
  </si>
  <si>
    <t>ORD1550</t>
  </si>
  <si>
    <t>ORD1551</t>
  </si>
  <si>
    <t>11-04-2018</t>
  </si>
  <si>
    <t>ORD1552</t>
  </si>
  <si>
    <t>ORD1553</t>
  </si>
  <si>
    <t>11-09-2018</t>
  </si>
  <si>
    <t>ORD1554</t>
  </si>
  <si>
    <t>21-10-2017</t>
  </si>
  <si>
    <t>ORD1555</t>
  </si>
  <si>
    <t>23-02-2016</t>
  </si>
  <si>
    <t>ORD1556</t>
  </si>
  <si>
    <t>17-05-2016</t>
  </si>
  <si>
    <t>ORD1557</t>
  </si>
  <si>
    <t>19-04-2018</t>
  </si>
  <si>
    <t>ORD1558</t>
  </si>
  <si>
    <t>08-04-2016</t>
  </si>
  <si>
    <t>ORD1559</t>
  </si>
  <si>
    <t>ORD1560</t>
  </si>
  <si>
    <t>14-03-2017</t>
  </si>
  <si>
    <t>ORD1561</t>
  </si>
  <si>
    <t>ORD1562</t>
  </si>
  <si>
    <t>02-05-2016</t>
  </si>
  <si>
    <t>ORD1563</t>
  </si>
  <si>
    <t>20-09-2018</t>
  </si>
  <si>
    <t>ORD1564</t>
  </si>
  <si>
    <t>ORD1565</t>
  </si>
  <si>
    <t>01-07-2017</t>
  </si>
  <si>
    <t>ORD1566</t>
  </si>
  <si>
    <t>ORD1567</t>
  </si>
  <si>
    <t>ORD1568</t>
  </si>
  <si>
    <t>21-01-2017</t>
  </si>
  <si>
    <t>ORD1569</t>
  </si>
  <si>
    <t>26-01-2017</t>
  </si>
  <si>
    <t>ORD1570</t>
  </si>
  <si>
    <t>21-05-2018</t>
  </si>
  <si>
    <t>ORD1571</t>
  </si>
  <si>
    <t>08-05-2016</t>
  </si>
  <si>
    <t>ORD1572</t>
  </si>
  <si>
    <t>ORD1573</t>
  </si>
  <si>
    <t>ORD1574</t>
  </si>
  <si>
    <t>20-12-2016</t>
  </si>
  <si>
    <t>ORD1575</t>
  </si>
  <si>
    <t>14-07-2017</t>
  </si>
  <si>
    <t>ORD1576</t>
  </si>
  <si>
    <t>10-07-2016</t>
  </si>
  <si>
    <t>ORD1577</t>
  </si>
  <si>
    <t>ORD1578</t>
  </si>
  <si>
    <t>ORD1579</t>
  </si>
  <si>
    <t>ORD1580</t>
  </si>
  <si>
    <t>ORD1581</t>
  </si>
  <si>
    <t>ORD1582</t>
  </si>
  <si>
    <t>12-03-2018</t>
  </si>
  <si>
    <t>ORD1583</t>
  </si>
  <si>
    <t>22-07-2018</t>
  </si>
  <si>
    <t>ORD1584</t>
  </si>
  <si>
    <t>08-02-2017</t>
  </si>
  <si>
    <t>ORD1585</t>
  </si>
  <si>
    <t>11-08-2016</t>
  </si>
  <si>
    <t>ORD1586</t>
  </si>
  <si>
    <t>ORD1587</t>
  </si>
  <si>
    <t>29-05-2016</t>
  </si>
  <si>
    <t>ORD1588</t>
  </si>
  <si>
    <t>07-08-2017</t>
  </si>
  <si>
    <t>ORD1589</t>
  </si>
  <si>
    <t>ORD1590</t>
  </si>
  <si>
    <t>30-08-2018</t>
  </si>
  <si>
    <t>ORD1591</t>
  </si>
  <si>
    <t>ORD1592</t>
  </si>
  <si>
    <t>18-02-2018</t>
  </si>
  <si>
    <t>ORD1593</t>
  </si>
  <si>
    <t>30-07-2016</t>
  </si>
  <si>
    <t>ORD1594</t>
  </si>
  <si>
    <t>ORD1595</t>
  </si>
  <si>
    <t>21-04-2018</t>
  </si>
  <si>
    <t>ORD1596</t>
  </si>
  <si>
    <t>22-01-2017</t>
  </si>
  <si>
    <t>ORD1597</t>
  </si>
  <si>
    <t>05-08-2018</t>
  </si>
  <si>
    <t>ORD1598</t>
  </si>
  <si>
    <t>18-05-2017</t>
  </si>
  <si>
    <t>ORD1599</t>
  </si>
  <si>
    <t>10-10-2016</t>
  </si>
  <si>
    <t>ORD1600</t>
  </si>
  <si>
    <t>03-11-2017</t>
  </si>
  <si>
    <t>ORD1601</t>
  </si>
  <si>
    <t>07-12-2016</t>
  </si>
  <si>
    <t>ORD1602</t>
  </si>
  <si>
    <t>19-06-2017</t>
  </si>
  <si>
    <t>ORD1603</t>
  </si>
  <si>
    <t>ORD1604</t>
  </si>
  <si>
    <t>ORD1605</t>
  </si>
  <si>
    <t>22-05-2017</t>
  </si>
  <si>
    <t>ORD1606</t>
  </si>
  <si>
    <t>ORD1607</t>
  </si>
  <si>
    <t>ORD1608</t>
  </si>
  <si>
    <t>ORD1609</t>
  </si>
  <si>
    <t>24-09-2016</t>
  </si>
  <si>
    <t>ORD1610</t>
  </si>
  <si>
    <t>ORD1611</t>
  </si>
  <si>
    <t>31-10-2016</t>
  </si>
  <si>
    <t>ORD1612</t>
  </si>
  <si>
    <t>ORD1613</t>
  </si>
  <si>
    <t>15-08-2018</t>
  </si>
  <si>
    <t>ORD1614</t>
  </si>
  <si>
    <t>ORD1615</t>
  </si>
  <si>
    <t>03-12-2017</t>
  </si>
  <si>
    <t>ORD1616</t>
  </si>
  <si>
    <t>09-10-2017</t>
  </si>
  <si>
    <t>ORD1617</t>
  </si>
  <si>
    <t>ORD1618</t>
  </si>
  <si>
    <t>28-04-2018</t>
  </si>
  <si>
    <t>ORD1619</t>
  </si>
  <si>
    <t>05-01-2017</t>
  </si>
  <si>
    <t>ORD1620</t>
  </si>
  <si>
    <t>ORD1621</t>
  </si>
  <si>
    <t>ORD1622</t>
  </si>
  <si>
    <t>ORD1623</t>
  </si>
  <si>
    <t>24-05-2016</t>
  </si>
  <si>
    <t>ORD1624</t>
  </si>
  <si>
    <t>24-12-2017</t>
  </si>
  <si>
    <t>ORD1625</t>
  </si>
  <si>
    <t>10-08-2018</t>
  </si>
  <si>
    <t>ORD1626</t>
  </si>
  <si>
    <t>07-04-2018</t>
  </si>
  <si>
    <t>ORD1627</t>
  </si>
  <si>
    <t>ORD1628</t>
  </si>
  <si>
    <t>30-01-2017</t>
  </si>
  <si>
    <t>ORD1629</t>
  </si>
  <si>
    <t>19-02-2016</t>
  </si>
  <si>
    <t>ORD1630</t>
  </si>
  <si>
    <t>18-09-2016</t>
  </si>
  <si>
    <t>ORD1631</t>
  </si>
  <si>
    <t>01-03-2017</t>
  </si>
  <si>
    <t>ORD1632</t>
  </si>
  <si>
    <t>ORD1633</t>
  </si>
  <si>
    <t>ORD1634</t>
  </si>
  <si>
    <t>08-07-2016</t>
  </si>
  <si>
    <t>ORD1635</t>
  </si>
  <si>
    <t>ORD1636</t>
  </si>
  <si>
    <t>ORD1637</t>
  </si>
  <si>
    <t>ORD1638</t>
  </si>
  <si>
    <t>ORD1639</t>
  </si>
  <si>
    <t>ORD1640</t>
  </si>
  <si>
    <t>02-03-2016</t>
  </si>
  <si>
    <t>ORD1641</t>
  </si>
  <si>
    <t>ORD1642</t>
  </si>
  <si>
    <t>21-12-2016</t>
  </si>
  <si>
    <t>ORD1643</t>
  </si>
  <si>
    <t>ORD1644</t>
  </si>
  <si>
    <t>14-11-2017</t>
  </si>
  <si>
    <t>ORD1645</t>
  </si>
  <si>
    <t>ORD1646</t>
  </si>
  <si>
    <t>ORD1647</t>
  </si>
  <si>
    <t>ORD1648</t>
  </si>
  <si>
    <t>ORD1649</t>
  </si>
  <si>
    <t>07-01-2017</t>
  </si>
  <si>
    <t>ORD1650</t>
  </si>
  <si>
    <t>ORD1651</t>
  </si>
  <si>
    <t>ORD1652</t>
  </si>
  <si>
    <t>ORD1653</t>
  </si>
  <si>
    <t>06-08-2018</t>
  </si>
  <si>
    <t>ORD1654</t>
  </si>
  <si>
    <t>ORD1655</t>
  </si>
  <si>
    <t>ORD1656</t>
  </si>
  <si>
    <t>04-07-2016</t>
  </si>
  <si>
    <t>ORD1657</t>
  </si>
  <si>
    <t>10-01-2016</t>
  </si>
  <si>
    <t>ORD1658</t>
  </si>
  <si>
    <t>16-12-2017</t>
  </si>
  <si>
    <t>ORD1659</t>
  </si>
  <si>
    <t>ORD1660</t>
  </si>
  <si>
    <t>26-12-2017</t>
  </si>
  <si>
    <t>ORD1661</t>
  </si>
  <si>
    <t>ORD1662</t>
  </si>
  <si>
    <t>02-05-2017</t>
  </si>
  <si>
    <t>ORD1663</t>
  </si>
  <si>
    <t>11-01-2017</t>
  </si>
  <si>
    <t>ORD1664</t>
  </si>
  <si>
    <t>ORD1665</t>
  </si>
  <si>
    <t>ORD1666</t>
  </si>
  <si>
    <t>ORD1667</t>
  </si>
  <si>
    <t>08-03-2018</t>
  </si>
  <si>
    <t>ORD1668</t>
  </si>
  <si>
    <t>ORD1669</t>
  </si>
  <si>
    <t>09-03-2017</t>
  </si>
  <si>
    <t>ORD1670</t>
  </si>
  <si>
    <t>12-04-2018</t>
  </si>
  <si>
    <t>ORD1671</t>
  </si>
  <si>
    <t>28-07-2017</t>
  </si>
  <si>
    <t>ORD1672</t>
  </si>
  <si>
    <t>20-01-2018</t>
  </si>
  <si>
    <t>ORD1673</t>
  </si>
  <si>
    <t>23-06-2017</t>
  </si>
  <si>
    <t>ORD1674</t>
  </si>
  <si>
    <t>02-02-2018</t>
  </si>
  <si>
    <t>ORD1675</t>
  </si>
  <si>
    <t>ORD1676</t>
  </si>
  <si>
    <t>21-11-2017</t>
  </si>
  <si>
    <t>ORD1677</t>
  </si>
  <si>
    <t>14-03-2018</t>
  </si>
  <si>
    <t>ORD1678</t>
  </si>
  <si>
    <t>ORD1679</t>
  </si>
  <si>
    <t>19-09-2016</t>
  </si>
  <si>
    <t>ORD1680</t>
  </si>
  <si>
    <t>ORD1681</t>
  </si>
  <si>
    <t>03-10-2017</t>
  </si>
  <si>
    <t>ORD1682</t>
  </si>
  <si>
    <t>ORD1683</t>
  </si>
  <si>
    <t>ORD1684</t>
  </si>
  <si>
    <t>ORD1685</t>
  </si>
  <si>
    <t>ORD1686</t>
  </si>
  <si>
    <t>04-05-2016</t>
  </si>
  <si>
    <t>ORD1687</t>
  </si>
  <si>
    <t>ORD1688</t>
  </si>
  <si>
    <t>ORD1689</t>
  </si>
  <si>
    <t>06-06-2018</t>
  </si>
  <si>
    <t>ORD1690</t>
  </si>
  <si>
    <t>ORD1691</t>
  </si>
  <si>
    <t>28-06-2018</t>
  </si>
  <si>
    <t>ORD1692</t>
  </si>
  <si>
    <t>ORD1693</t>
  </si>
  <si>
    <t>ORD1694</t>
  </si>
  <si>
    <t>ORD1695</t>
  </si>
  <si>
    <t>08-10-2017</t>
  </si>
  <si>
    <t>ORD1696</t>
  </si>
  <si>
    <t>ORD1697</t>
  </si>
  <si>
    <t>19-11-2017</t>
  </si>
  <si>
    <t>ORD1698</t>
  </si>
  <si>
    <t>ORD1699</t>
  </si>
  <si>
    <t>ORD1700</t>
  </si>
  <si>
    <t>ORD1701</t>
  </si>
  <si>
    <t>ORD1702</t>
  </si>
  <si>
    <t>11-03-2016</t>
  </si>
  <si>
    <t>ORD1703</t>
  </si>
  <si>
    <t>ORD1704</t>
  </si>
  <si>
    <t>25-03-2018</t>
  </si>
  <si>
    <t>ORD1705</t>
  </si>
  <si>
    <t>04-07-2017</t>
  </si>
  <si>
    <t>ORD1706</t>
  </si>
  <si>
    <t>ORD1707</t>
  </si>
  <si>
    <t>29-04-2018</t>
  </si>
  <si>
    <t>ORD1708</t>
  </si>
  <si>
    <t>09-06-2017</t>
  </si>
  <si>
    <t>ORD1709</t>
  </si>
  <si>
    <t>20-05-2018</t>
  </si>
  <si>
    <t>ORD1710</t>
  </si>
  <si>
    <t>23-08-2018</t>
  </si>
  <si>
    <t>ORD1711</t>
  </si>
  <si>
    <t>13-03-2018</t>
  </si>
  <si>
    <t>ORD1712</t>
  </si>
  <si>
    <t>ORD1713</t>
  </si>
  <si>
    <t>ORD1714</t>
  </si>
  <si>
    <t>23-07-2017</t>
  </si>
  <si>
    <t>ORD1715</t>
  </si>
  <si>
    <t>ORD1716</t>
  </si>
  <si>
    <t>10-05-2017</t>
  </si>
  <si>
    <t>ORD1717</t>
  </si>
  <si>
    <t>ORD1718</t>
  </si>
  <si>
    <t>21-09-2017</t>
  </si>
  <si>
    <t>ORD1719</t>
  </si>
  <si>
    <t>27-05-2017</t>
  </si>
  <si>
    <t>ORD1720</t>
  </si>
  <si>
    <t>24-10-2016</t>
  </si>
  <si>
    <t>ORD1721</t>
  </si>
  <si>
    <t>ORD1722</t>
  </si>
  <si>
    <t>ORD1723</t>
  </si>
  <si>
    <t>24-01-2016</t>
  </si>
  <si>
    <t>ORD1724</t>
  </si>
  <si>
    <t>02-06-2017</t>
  </si>
  <si>
    <t>ORD1725</t>
  </si>
  <si>
    <t>ORD1726</t>
  </si>
  <si>
    <t>31-01-2016</t>
  </si>
  <si>
    <t>ORD1727</t>
  </si>
  <si>
    <t>ORD1728</t>
  </si>
  <si>
    <t>14-11-2016</t>
  </si>
  <si>
    <t>ORD1729</t>
  </si>
  <si>
    <t>ORD1730</t>
  </si>
  <si>
    <t>ORD1731</t>
  </si>
  <si>
    <t>ORD1732</t>
  </si>
  <si>
    <t>29-12-2016</t>
  </si>
  <si>
    <t>ORD1733</t>
  </si>
  <si>
    <t>23-12-2017</t>
  </si>
  <si>
    <t>ORD1734</t>
  </si>
  <si>
    <t>ORD1735</t>
  </si>
  <si>
    <t>ORD1736</t>
  </si>
  <si>
    <t>17-01-2018</t>
  </si>
  <si>
    <t>ORD1737</t>
  </si>
  <si>
    <t>ORD1738</t>
  </si>
  <si>
    <t>27-09-2017</t>
  </si>
  <si>
    <t>ORD1739</t>
  </si>
  <si>
    <t>28-04-2016</t>
  </si>
  <si>
    <t>ORD1740</t>
  </si>
  <si>
    <t>12-08-2016</t>
  </si>
  <si>
    <t>ORD1741</t>
  </si>
  <si>
    <t>27-08-2017</t>
  </si>
  <si>
    <t>ORD1742</t>
  </si>
  <si>
    <t>ORD1743</t>
  </si>
  <si>
    <t>ORD1744</t>
  </si>
  <si>
    <t>ORD1745</t>
  </si>
  <si>
    <t>22-11-2016</t>
  </si>
  <si>
    <t>ORD1746</t>
  </si>
  <si>
    <t>ORD1747</t>
  </si>
  <si>
    <t>26-05-2017</t>
  </si>
  <si>
    <t>ORD1748</t>
  </si>
  <si>
    <t>21-03-2016</t>
  </si>
  <si>
    <t>ORD1749</t>
  </si>
  <si>
    <t>ORD1750</t>
  </si>
  <si>
    <t>12-02-2018</t>
  </si>
  <si>
    <t>ORD1751</t>
  </si>
  <si>
    <t>ORD1752</t>
  </si>
  <si>
    <t>01-04-2017</t>
  </si>
  <si>
    <t>ORD1753</t>
  </si>
  <si>
    <t>ORD1754</t>
  </si>
  <si>
    <t>ORD1755</t>
  </si>
  <si>
    <t>11-01-2016</t>
  </si>
  <si>
    <t>ORD1756</t>
  </si>
  <si>
    <t>ORD1757</t>
  </si>
  <si>
    <t>ORD1758</t>
  </si>
  <si>
    <t>ORD1759</t>
  </si>
  <si>
    <t>ORD1760</t>
  </si>
  <si>
    <t>ORD1761</t>
  </si>
  <si>
    <t>ORD1762</t>
  </si>
  <si>
    <t>28-05-2016</t>
  </si>
  <si>
    <t>ORD1763</t>
  </si>
  <si>
    <t>07-06-2018</t>
  </si>
  <si>
    <t>ORD1764</t>
  </si>
  <si>
    <t>ORD1765</t>
  </si>
  <si>
    <t>ORD1766</t>
  </si>
  <si>
    <t>23-08-2017</t>
  </si>
  <si>
    <t>ORD1767</t>
  </si>
  <si>
    <t>ORD1768</t>
  </si>
  <si>
    <t>25-01-2018</t>
  </si>
  <si>
    <t>ORD1769</t>
  </si>
  <si>
    <t>ORD1770</t>
  </si>
  <si>
    <t>18-08-2016</t>
  </si>
  <si>
    <t>ORD1771</t>
  </si>
  <si>
    <t>23-04-2016</t>
  </si>
  <si>
    <t>ORD1772</t>
  </si>
  <si>
    <t>ORD1773</t>
  </si>
  <si>
    <t>23-11-2017</t>
  </si>
  <si>
    <t>ORD1774</t>
  </si>
  <si>
    <t>ORD1775</t>
  </si>
  <si>
    <t>ORD1776</t>
  </si>
  <si>
    <t>01-04-2018</t>
  </si>
  <si>
    <t>ORD1777</t>
  </si>
  <si>
    <t>10-05-2018</t>
  </si>
  <si>
    <t>ORD1778</t>
  </si>
  <si>
    <t>ORD1779</t>
  </si>
  <si>
    <t>ORD1780</t>
  </si>
  <si>
    <t>02-08-2017</t>
  </si>
  <si>
    <t>ORD1781</t>
  </si>
  <si>
    <t>ORD1782</t>
  </si>
  <si>
    <t>ORD1783</t>
  </si>
  <si>
    <t>08-02-2016</t>
  </si>
  <si>
    <t>ORD1784</t>
  </si>
  <si>
    <t>ORD1785</t>
  </si>
  <si>
    <t>17-02-2018</t>
  </si>
  <si>
    <t>ORD1786</t>
  </si>
  <si>
    <t>ORD1787</t>
  </si>
  <si>
    <t>19-07-2018</t>
  </si>
  <si>
    <t>ORD1788</t>
  </si>
  <si>
    <t>ORD1789</t>
  </si>
  <si>
    <t>03-04-2018</t>
  </si>
  <si>
    <t>ORD1790</t>
  </si>
  <si>
    <t>12-12-2016</t>
  </si>
  <si>
    <t>ORD1791</t>
  </si>
  <si>
    <t>ORD1792</t>
  </si>
  <si>
    <t>ORD1793</t>
  </si>
  <si>
    <t>09-12-2017</t>
  </si>
  <si>
    <t>ORD1794</t>
  </si>
  <si>
    <t>ORD1795</t>
  </si>
  <si>
    <t>ORD1796</t>
  </si>
  <si>
    <t>ORD1797</t>
  </si>
  <si>
    <t>ORD1798</t>
  </si>
  <si>
    <t>ORD1799</t>
  </si>
  <si>
    <t>13-06-2018</t>
  </si>
  <si>
    <t>ORD1800</t>
  </si>
  <si>
    <t>17-08-2018</t>
  </si>
  <si>
    <t>ORD1801</t>
  </si>
  <si>
    <t>25-08-2018</t>
  </si>
  <si>
    <t>ORD1802</t>
  </si>
  <si>
    <t>ORD1803</t>
  </si>
  <si>
    <t>07-11-2016</t>
  </si>
  <si>
    <t>ORD1804</t>
  </si>
  <si>
    <t>11-12-2016</t>
  </si>
  <si>
    <t>ORD1805</t>
  </si>
  <si>
    <t>24-04-2018</t>
  </si>
  <si>
    <t>ORD1806</t>
  </si>
  <si>
    <t>18-01-2017</t>
  </si>
  <si>
    <t>ORD1807</t>
  </si>
  <si>
    <t>ORD1808</t>
  </si>
  <si>
    <t>ORD1809</t>
  </si>
  <si>
    <t>ORD1810</t>
  </si>
  <si>
    <t>ORD1811</t>
  </si>
  <si>
    <t>ORD1812</t>
  </si>
  <si>
    <t>ORD1813</t>
  </si>
  <si>
    <t>ORD1814</t>
  </si>
  <si>
    <t>24-06-2016</t>
  </si>
  <si>
    <t>ORD1815</t>
  </si>
  <si>
    <t>ORD1816</t>
  </si>
  <si>
    <t>ORD1817</t>
  </si>
  <si>
    <t>16-06-2016</t>
  </si>
  <si>
    <t>ORD1818</t>
  </si>
  <si>
    <t>05-10-2016</t>
  </si>
  <si>
    <t>ORD1819</t>
  </si>
  <si>
    <t>ORD1820</t>
  </si>
  <si>
    <t>ORD1821</t>
  </si>
  <si>
    <t>06-07-2016</t>
  </si>
  <si>
    <t>ORD1822</t>
  </si>
  <si>
    <t>ORD1823</t>
  </si>
  <si>
    <t>15-12-2016</t>
  </si>
  <si>
    <t>ORD1824</t>
  </si>
  <si>
    <t>04-09-2016</t>
  </si>
  <si>
    <t>ORD1825</t>
  </si>
  <si>
    <t>ORD1826</t>
  </si>
  <si>
    <t>ORD1827</t>
  </si>
  <si>
    <t>ORD1828</t>
  </si>
  <si>
    <t>ORD1829</t>
  </si>
  <si>
    <t>ORD1830</t>
  </si>
  <si>
    <t>ORD1831</t>
  </si>
  <si>
    <t>09-05-2018</t>
  </si>
  <si>
    <t>ORD1832</t>
  </si>
  <si>
    <t>05-02-2017</t>
  </si>
  <si>
    <t>ORD1833</t>
  </si>
  <si>
    <t>03-12-2016</t>
  </si>
  <si>
    <t>ORD1834</t>
  </si>
  <si>
    <t>11-03-2018</t>
  </si>
  <si>
    <t>ORD1835</t>
  </si>
  <si>
    <t>ORD1836</t>
  </si>
  <si>
    <t>ORD1837</t>
  </si>
  <si>
    <t>ORD1838</t>
  </si>
  <si>
    <t>ORD1839</t>
  </si>
  <si>
    <t>12-09-2016</t>
  </si>
  <si>
    <t>ORD1840</t>
  </si>
  <si>
    <t>31-05-2018</t>
  </si>
  <si>
    <t>ORD1841</t>
  </si>
  <si>
    <t>ORD1842</t>
  </si>
  <si>
    <t>ORD1843</t>
  </si>
  <si>
    <t>ORD1844</t>
  </si>
  <si>
    <t>23-06-2016</t>
  </si>
  <si>
    <t>ORD1845</t>
  </si>
  <si>
    <t>ORD1846</t>
  </si>
  <si>
    <t>29-06-2018</t>
  </si>
  <si>
    <t>ORD1847</t>
  </si>
  <si>
    <t>ORD1848</t>
  </si>
  <si>
    <t>02-05-2018</t>
  </si>
  <si>
    <t>ORD1849</t>
  </si>
  <si>
    <t>05-10-2017</t>
  </si>
  <si>
    <t>ORD1850</t>
  </si>
  <si>
    <t>ORD1851</t>
  </si>
  <si>
    <t>ORD1852</t>
  </si>
  <si>
    <t>09-08-2018</t>
  </si>
  <si>
    <t>ORD1853</t>
  </si>
  <si>
    <t>ORD1854</t>
  </si>
  <si>
    <t>22-11-2017</t>
  </si>
  <si>
    <t>ORD1855</t>
  </si>
  <si>
    <t>ORD1856</t>
  </si>
  <si>
    <t>ORD1857</t>
  </si>
  <si>
    <t>ORD1858</t>
  </si>
  <si>
    <t>16-09-2017</t>
  </si>
  <si>
    <t>ORD1859</t>
  </si>
  <si>
    <t>ORD1860</t>
  </si>
  <si>
    <t>ORD1861</t>
  </si>
  <si>
    <t>ORD1862</t>
  </si>
  <si>
    <t>ORD1863</t>
  </si>
  <si>
    <t>ORD1864</t>
  </si>
  <si>
    <t>ORD1865</t>
  </si>
  <si>
    <t>ORD1866</t>
  </si>
  <si>
    <t>05-01-2016</t>
  </si>
  <si>
    <t>ORD1867</t>
  </si>
  <si>
    <t>11-02-2016</t>
  </si>
  <si>
    <t>ORD1868</t>
  </si>
  <si>
    <t>ORD1869</t>
  </si>
  <si>
    <t>23-06-2018</t>
  </si>
  <si>
    <t>ORD1870</t>
  </si>
  <si>
    <t>ORD1871</t>
  </si>
  <si>
    <t>08-01-2016</t>
  </si>
  <si>
    <t>ORD1872</t>
  </si>
  <si>
    <t>ORD1873</t>
  </si>
  <si>
    <t>06-06-2016</t>
  </si>
  <si>
    <t>ORD1874</t>
  </si>
  <si>
    <t>ORD1875</t>
  </si>
  <si>
    <t>20-04-2016</t>
  </si>
  <si>
    <t>ORD1876</t>
  </si>
  <si>
    <t>ORD1877</t>
  </si>
  <si>
    <t>ORD1878</t>
  </si>
  <si>
    <t>ORD1879</t>
  </si>
  <si>
    <t>ORD1880</t>
  </si>
  <si>
    <t>13-08-2016</t>
  </si>
  <si>
    <t>ORD1881</t>
  </si>
  <si>
    <t>ORD1882</t>
  </si>
  <si>
    <t>ORD1883</t>
  </si>
  <si>
    <t>06-11-2016</t>
  </si>
  <si>
    <t>ORD1884</t>
  </si>
  <si>
    <t>08-12-2017</t>
  </si>
  <si>
    <t>ORD1885</t>
  </si>
  <si>
    <t>17-04-2016</t>
  </si>
  <si>
    <t>ORD1886</t>
  </si>
  <si>
    <t>ORD1887</t>
  </si>
  <si>
    <t>ORD1888</t>
  </si>
  <si>
    <t>ORD1889</t>
  </si>
  <si>
    <t>ORD1890</t>
  </si>
  <si>
    <t>11-09-2017</t>
  </si>
  <si>
    <t>ORD1891</t>
  </si>
  <si>
    <t>ORD1892</t>
  </si>
  <si>
    <t>03-01-2018</t>
  </si>
  <si>
    <t>ORD1893</t>
  </si>
  <si>
    <t>ORD1894</t>
  </si>
  <si>
    <t>ORD1895</t>
  </si>
  <si>
    <t>ORD1896</t>
  </si>
  <si>
    <t>ORD1897</t>
  </si>
  <si>
    <t>ORD1898</t>
  </si>
  <si>
    <t>16-08-2017</t>
  </si>
  <si>
    <t>ORD1899</t>
  </si>
  <si>
    <t>ORD1900</t>
  </si>
  <si>
    <t>10-07-2017</t>
  </si>
  <si>
    <t>ORD1901</t>
  </si>
  <si>
    <t>ORD1902</t>
  </si>
  <si>
    <t>28-08-2016</t>
  </si>
  <si>
    <t>ORD1903</t>
  </si>
  <si>
    <t>ORD1904</t>
  </si>
  <si>
    <t>18-07-2018</t>
  </si>
  <si>
    <t>ORD1905</t>
  </si>
  <si>
    <t>ORD1906</t>
  </si>
  <si>
    <t>24-07-2018</t>
  </si>
  <si>
    <t>ORD1907</t>
  </si>
  <si>
    <t>23-01-2018</t>
  </si>
  <si>
    <t>ORD1908</t>
  </si>
  <si>
    <t>11-02-2018</t>
  </si>
  <si>
    <t>ORD1909</t>
  </si>
  <si>
    <t>ORD1910</t>
  </si>
  <si>
    <t>ORD1911</t>
  </si>
  <si>
    <t>19-08-2018</t>
  </si>
  <si>
    <t>ORD1912</t>
  </si>
  <si>
    <t>ORD1913</t>
  </si>
  <si>
    <t>ORD1914</t>
  </si>
  <si>
    <t>ORD1915</t>
  </si>
  <si>
    <t>ORD1916</t>
  </si>
  <si>
    <t>03-09-2016</t>
  </si>
  <si>
    <t>ORD1917</t>
  </si>
  <si>
    <t>ORD1918</t>
  </si>
  <si>
    <t>ORD1919</t>
  </si>
  <si>
    <t>14-09-2016</t>
  </si>
  <si>
    <t>ORD1920</t>
  </si>
  <si>
    <t>ORD1921</t>
  </si>
  <si>
    <t>ORD1922</t>
  </si>
  <si>
    <t>09-04-2016</t>
  </si>
  <si>
    <t>ORD1923</t>
  </si>
  <si>
    <t>04-05-2018</t>
  </si>
  <si>
    <t>ORD1924</t>
  </si>
  <si>
    <t>ORD1925</t>
  </si>
  <si>
    <t>ORD1926</t>
  </si>
  <si>
    <t>ORD1927</t>
  </si>
  <si>
    <t>ORD1928</t>
  </si>
  <si>
    <t>ORD1929</t>
  </si>
  <si>
    <t>ORD1930</t>
  </si>
  <si>
    <t>20-09-2017</t>
  </si>
  <si>
    <t>ORD1931</t>
  </si>
  <si>
    <t>05-07-2017</t>
  </si>
  <si>
    <t>ORD1932</t>
  </si>
  <si>
    <t>ORD1933</t>
  </si>
  <si>
    <t>23-05-2018</t>
  </si>
  <si>
    <t>ORD1934</t>
  </si>
  <si>
    <t>ORD1935</t>
  </si>
  <si>
    <t>ORD1936</t>
  </si>
  <si>
    <t>25-09-2017</t>
  </si>
  <si>
    <t>ORD1937</t>
  </si>
  <si>
    <t>ORD1938</t>
  </si>
  <si>
    <t>ORD1939</t>
  </si>
  <si>
    <t>ORD1940</t>
  </si>
  <si>
    <t>23-12-2016</t>
  </si>
  <si>
    <t>ORD1941</t>
  </si>
  <si>
    <t>ORD1942</t>
  </si>
  <si>
    <t>ORD1943</t>
  </si>
  <si>
    <t>22-04-2017</t>
  </si>
  <si>
    <t>ORD1944</t>
  </si>
  <si>
    <t>ORD1945</t>
  </si>
  <si>
    <t>ORD1946</t>
  </si>
  <si>
    <t>ORD1947</t>
  </si>
  <si>
    <t>ORD1948</t>
  </si>
  <si>
    <t>ORD1949</t>
  </si>
  <si>
    <t>ORD1950</t>
  </si>
  <si>
    <t>19-06-2018</t>
  </si>
  <si>
    <t>ORD1951</t>
  </si>
  <si>
    <t>ORD1952</t>
  </si>
  <si>
    <t>ORD1953</t>
  </si>
  <si>
    <t>ORD1954</t>
  </si>
  <si>
    <t>ORD1955</t>
  </si>
  <si>
    <t>17-02-2016</t>
  </si>
  <si>
    <t>ORD1956</t>
  </si>
  <si>
    <t>ORD1957</t>
  </si>
  <si>
    <t>03-08-2016</t>
  </si>
  <si>
    <t>ORD1958</t>
  </si>
  <si>
    <t>ORD1959</t>
  </si>
  <si>
    <t>ORD1960</t>
  </si>
  <si>
    <t>ORD1961</t>
  </si>
  <si>
    <t>03-08-2018</t>
  </si>
  <si>
    <t>ORD1962</t>
  </si>
  <si>
    <t>ORD1963</t>
  </si>
  <si>
    <t>ORD1964</t>
  </si>
  <si>
    <t>ORD1965</t>
  </si>
  <si>
    <t>01-12-2016</t>
  </si>
  <si>
    <t>ORD1966</t>
  </si>
  <si>
    <t>08-07-2017</t>
  </si>
  <si>
    <t>ORD1967</t>
  </si>
  <si>
    <t>ORD1968</t>
  </si>
  <si>
    <t>ORD1969</t>
  </si>
  <si>
    <t>ORD1970</t>
  </si>
  <si>
    <t>29-08-2018</t>
  </si>
  <si>
    <t>ORD1971</t>
  </si>
  <si>
    <t>06-12-2017</t>
  </si>
  <si>
    <t>ORD1972</t>
  </si>
  <si>
    <t>ORD1973</t>
  </si>
  <si>
    <t>27-05-2018</t>
  </si>
  <si>
    <t>ORD1974</t>
  </si>
  <si>
    <t>05-09-2017</t>
  </si>
  <si>
    <t>ORD1975</t>
  </si>
  <si>
    <t>ORD1976</t>
  </si>
  <si>
    <t>ORD1977</t>
  </si>
  <si>
    <t>ORD1978</t>
  </si>
  <si>
    <t>ORD1979</t>
  </si>
  <si>
    <t>09-03-2016</t>
  </si>
  <si>
    <t>ORD1980</t>
  </si>
  <si>
    <t>ORD1981</t>
  </si>
  <si>
    <t>ORD1982</t>
  </si>
  <si>
    <t>ORD1983</t>
  </si>
  <si>
    <t>ORD1984</t>
  </si>
  <si>
    <t>ORD1985</t>
  </si>
  <si>
    <t>25-04-2016</t>
  </si>
  <si>
    <t>ORD1986</t>
  </si>
  <si>
    <t>04-05-2017</t>
  </si>
  <si>
    <t>ORD1987</t>
  </si>
  <si>
    <t>ORD1988</t>
  </si>
  <si>
    <t>ORD1989</t>
  </si>
  <si>
    <t>07-02-2016</t>
  </si>
  <si>
    <t>ORD1990</t>
  </si>
  <si>
    <t>07-09-2016</t>
  </si>
  <si>
    <t>ORD1991</t>
  </si>
  <si>
    <t>ORD1992</t>
  </si>
  <si>
    <t>ORD1993</t>
  </si>
  <si>
    <t>ORD1994</t>
  </si>
  <si>
    <t>ORD1995</t>
  </si>
  <si>
    <t>ORD1996</t>
  </si>
  <si>
    <t>ORD1997</t>
  </si>
  <si>
    <t>ORD1998</t>
  </si>
  <si>
    <t>ORD1999</t>
  </si>
  <si>
    <t>17-07-2017</t>
  </si>
  <si>
    <t>Months</t>
  </si>
  <si>
    <t>Row Labels</t>
  </si>
  <si>
    <t>Grand Total</t>
  </si>
  <si>
    <t>Sum of Sales</t>
  </si>
  <si>
    <t>Monthly Sales Trend</t>
  </si>
  <si>
    <t>Sales by Region</t>
  </si>
  <si>
    <t>Sales by Category</t>
  </si>
  <si>
    <t>Total Sales</t>
  </si>
  <si>
    <t>Total Order ID</t>
  </si>
  <si>
    <t>Total Profit</t>
  </si>
  <si>
    <t xml:space="preserve">            Region Chart</t>
  </si>
  <si>
    <t xml:space="preserve">                   Monthly Trend</t>
  </si>
  <si>
    <t xml:space="preserve">           Sales Performance Dashboard</t>
  </si>
  <si>
    <t xml:space="preserve">                 Category Chart</t>
  </si>
  <si>
    <t xml:space="preserve">   Slicers</t>
  </si>
  <si>
    <t xml:space="preserve">   </t>
  </si>
  <si>
    <t>KPIs</t>
  </si>
  <si>
    <t>jdi</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</si>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</sst>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mmm/yyyy"/>
  </numFmts>
  <fonts count="8" x14ac:knownFonts="1">
    <font>
      <sz val="11"/>
      <color theme="1"/>
      <name val="Calibri"/>
      <family val="2"/>
      <scheme val="minor"/>
    </font>
    <font>
      <b/>
      <sz val="36"/>
      <color theme="1"/>
      <name val="Calibri"/>
      <family val="2"/>
      <scheme val="minor"/>
    </font>
    <font>
      <b/>
      <sz val="14"/>
      <color theme="1"/>
      <name val="Calibri"/>
      <family val="2"/>
      <scheme val="minor"/>
    </font>
    <font>
      <b/>
      <sz val="28"/>
      <color theme="1"/>
      <name val="Calibri"/>
      <family val="2"/>
      <scheme val="minor"/>
    </font>
    <font>
      <b/>
      <sz val="20"/>
      <color theme="1"/>
      <name val="Calibri"/>
      <family val="2"/>
      <scheme val="minor"/>
    </font>
    <font>
      <sz val="20"/>
      <color theme="1"/>
      <name val="Calibri"/>
      <family val="2"/>
      <scheme val="minor"/>
    </font>
    <font>
      <b/>
      <sz val="11"/>
      <color theme="1"/>
      <name val="Calibri"/>
      <family val="2"/>
      <scheme val="minor"/>
    </font>
    <font>
      <sz val="2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165" fontId="0" fillId="0" borderId="0" xfId="0" applyNumberFormat="1"/>
    <xf numFmtId="0" fontId="0" fillId="0" borderId="0" xfId="0" pivotButton="1"/>
    <xf numFmtId="165" fontId="0" fillId="0" borderId="0" xfId="0" applyNumberFormat="1" applyAlignment="1">
      <alignment horizontal="left"/>
    </xf>
    <xf numFmtId="0" fontId="0" fillId="0" borderId="0" xfId="0" applyAlignment="1">
      <alignment horizontal="left"/>
    </xf>
    <xf numFmtId="1"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1" fontId="5" fillId="0" borderId="0" xfId="0" applyNumberFormat="1" applyFont="1"/>
    <xf numFmtId="0" fontId="5" fillId="0" borderId="0" xfId="0" applyFont="1"/>
    <xf numFmtId="0" fontId="6" fillId="0" borderId="0" xfId="0" applyFont="1"/>
    <xf numFmtId="164" fontId="6" fillId="0" borderId="0" xfId="0" applyNumberFormat="1" applyFont="1"/>
    <xf numFmtId="165" fontId="6" fillId="0" borderId="0" xfId="0" applyNumberFormat="1" applyFont="1"/>
    <xf numFmtId="0" fontId="7" fillId="0" borderId="0" xfId="0" applyFont="1"/>
  </cellXfs>
  <cellStyles count="1">
    <cellStyle name="Normal" xfId="0" builtinId="0"/>
  </cellStyles>
  <dxfs count="2">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Analysis.xlsx]Sales by Region!PivotTable2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Region'!$B$3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675313.97999999975</c:v>
                </c:pt>
                <c:pt idx="1">
                  <c:v>663969.35999999987</c:v>
                </c:pt>
                <c:pt idx="2">
                  <c:v>577445.75000000023</c:v>
                </c:pt>
                <c:pt idx="3">
                  <c:v>651233.30000000016</c:v>
                </c:pt>
              </c:numCache>
            </c:numRef>
          </c:val>
          <c:extLst>
            <c:ext xmlns:c16="http://schemas.microsoft.com/office/drawing/2014/chart" uri="{C3380CC4-5D6E-409C-BE32-E72D297353CC}">
              <c16:uniqueId val="{00000000-FD3A-4BBF-A141-883DCDF383CE}"/>
            </c:ext>
          </c:extLst>
        </c:ser>
        <c:dLbls>
          <c:showLegendKey val="0"/>
          <c:showVal val="1"/>
          <c:showCatName val="0"/>
          <c:showSerName val="0"/>
          <c:showPercent val="0"/>
          <c:showBubbleSize val="0"/>
        </c:dLbls>
        <c:gapWidth val="65"/>
        <c:shape val="box"/>
        <c:axId val="1172404239"/>
        <c:axId val="1172415279"/>
        <c:axId val="0"/>
      </c:bar3DChart>
      <c:catAx>
        <c:axId val="11724042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2415279"/>
        <c:crosses val="autoZero"/>
        <c:auto val="1"/>
        <c:lblAlgn val="ctr"/>
        <c:lblOffset val="100"/>
        <c:noMultiLvlLbl val="0"/>
      </c:catAx>
      <c:valAx>
        <c:axId val="117241527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24042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Analysis.xlsx]Sales by Category!PivotTable3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D81-4AFC-8540-A128EFDFA8C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D81-4AFC-8540-A128EFDFA8C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D81-4AFC-8540-A128EFDFA8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883602.33</c:v>
                </c:pt>
                <c:pt idx="1">
                  <c:v>849869.69</c:v>
                </c:pt>
                <c:pt idx="2">
                  <c:v>834490.36999999965</c:v>
                </c:pt>
              </c:numCache>
            </c:numRef>
          </c:val>
          <c:extLst>
            <c:ext xmlns:c16="http://schemas.microsoft.com/office/drawing/2014/chart" uri="{C3380CC4-5D6E-409C-BE32-E72D297353CC}">
              <c16:uniqueId val="{00000000-6735-4425-B526-4B67B9BBDB7A}"/>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Analysis.xlsx]Monthly Sales Trend!PivotTable1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'Monthly Sales Trend'!$A$4:$A$37</c:f>
              <c:strCache>
                <c:ptCount val="33"/>
                <c:pt idx="0">
                  <c:v>Jan-2016</c:v>
                </c:pt>
                <c:pt idx="1">
                  <c:v>Feb-2016</c:v>
                </c:pt>
                <c:pt idx="2">
                  <c:v>Mar-2016</c:v>
                </c:pt>
                <c:pt idx="3">
                  <c:v>Apr-2016</c:v>
                </c:pt>
                <c:pt idx="4">
                  <c:v>May-2016</c:v>
                </c:pt>
                <c:pt idx="5">
                  <c:v>Jun-2016</c:v>
                </c:pt>
                <c:pt idx="6">
                  <c:v>Jul-2016</c:v>
                </c:pt>
                <c:pt idx="7">
                  <c:v>Aug-2016</c:v>
                </c:pt>
                <c:pt idx="8">
                  <c:v>Sep-2016</c:v>
                </c:pt>
                <c:pt idx="9">
                  <c:v>Oct-2016</c:v>
                </c:pt>
                <c:pt idx="10">
                  <c:v>Nov-2016</c:v>
                </c:pt>
                <c:pt idx="11">
                  <c:v>Dec-2016</c:v>
                </c:pt>
                <c:pt idx="12">
                  <c:v>Jan-2017</c:v>
                </c:pt>
                <c:pt idx="13">
                  <c:v>Feb-2017</c:v>
                </c:pt>
                <c:pt idx="14">
                  <c:v>Mar-2017</c:v>
                </c:pt>
                <c:pt idx="15">
                  <c:v>Apr-2017</c:v>
                </c:pt>
                <c:pt idx="16">
                  <c:v>May-2017</c:v>
                </c:pt>
                <c:pt idx="17">
                  <c:v>Jun-2017</c:v>
                </c:pt>
                <c:pt idx="18">
                  <c:v>Jul-2017</c:v>
                </c:pt>
                <c:pt idx="19">
                  <c:v>Aug-2017</c:v>
                </c:pt>
                <c:pt idx="20">
                  <c:v>Sep-2017</c:v>
                </c:pt>
                <c:pt idx="21">
                  <c:v>Oct-2017</c:v>
                </c:pt>
                <c:pt idx="22">
                  <c:v>Nov-2017</c:v>
                </c:pt>
                <c:pt idx="23">
                  <c:v>Dec-2017</c:v>
                </c:pt>
                <c:pt idx="24">
                  <c:v>Jan-2018</c:v>
                </c:pt>
                <c:pt idx="25">
                  <c:v>Feb-2018</c:v>
                </c:pt>
                <c:pt idx="26">
                  <c:v>Mar-2018</c:v>
                </c:pt>
                <c:pt idx="27">
                  <c:v>Apr-2018</c:v>
                </c:pt>
                <c:pt idx="28">
                  <c:v>May-2018</c:v>
                </c:pt>
                <c:pt idx="29">
                  <c:v>Jun-2018</c:v>
                </c:pt>
                <c:pt idx="30">
                  <c:v>Jul-2018</c:v>
                </c:pt>
                <c:pt idx="31">
                  <c:v>Aug-2018</c:v>
                </c:pt>
                <c:pt idx="32">
                  <c:v>Sep-2018</c:v>
                </c:pt>
              </c:strCache>
            </c:strRef>
          </c:cat>
          <c:val>
            <c:numRef>
              <c:f>'Monthly Sales Trend'!$B$4:$B$37</c:f>
              <c:numCache>
                <c:formatCode>General</c:formatCode>
                <c:ptCount val="33"/>
                <c:pt idx="0">
                  <c:v>65163.470000000008</c:v>
                </c:pt>
                <c:pt idx="1">
                  <c:v>97309.01</c:v>
                </c:pt>
                <c:pt idx="2">
                  <c:v>79032.379999999976</c:v>
                </c:pt>
                <c:pt idx="3">
                  <c:v>51759.520000000004</c:v>
                </c:pt>
                <c:pt idx="4">
                  <c:v>73686.059999999983</c:v>
                </c:pt>
                <c:pt idx="5">
                  <c:v>70963.000000000015</c:v>
                </c:pt>
                <c:pt idx="6">
                  <c:v>84587.150000000023</c:v>
                </c:pt>
                <c:pt idx="7">
                  <c:v>82667.959999999992</c:v>
                </c:pt>
                <c:pt idx="8">
                  <c:v>90396.970000000016</c:v>
                </c:pt>
                <c:pt idx="9">
                  <c:v>62761.590000000011</c:v>
                </c:pt>
                <c:pt idx="10">
                  <c:v>84516.99</c:v>
                </c:pt>
                <c:pt idx="11">
                  <c:v>117916.68999999997</c:v>
                </c:pt>
                <c:pt idx="12">
                  <c:v>90533.23</c:v>
                </c:pt>
                <c:pt idx="13">
                  <c:v>79401.37999999999</c:v>
                </c:pt>
                <c:pt idx="14">
                  <c:v>73974.36</c:v>
                </c:pt>
                <c:pt idx="15">
                  <c:v>69552.97</c:v>
                </c:pt>
                <c:pt idx="16">
                  <c:v>89937.23000000004</c:v>
                </c:pt>
                <c:pt idx="17">
                  <c:v>94354.23</c:v>
                </c:pt>
                <c:pt idx="18">
                  <c:v>88575.549999999974</c:v>
                </c:pt>
                <c:pt idx="19">
                  <c:v>55257.09</c:v>
                </c:pt>
                <c:pt idx="20">
                  <c:v>83779.549999999988</c:v>
                </c:pt>
                <c:pt idx="21">
                  <c:v>91250.83</c:v>
                </c:pt>
                <c:pt idx="22">
                  <c:v>56087.87999999999</c:v>
                </c:pt>
                <c:pt idx="23">
                  <c:v>75738.77</c:v>
                </c:pt>
                <c:pt idx="24">
                  <c:v>49279.969999999994</c:v>
                </c:pt>
                <c:pt idx="25">
                  <c:v>60678.85</c:v>
                </c:pt>
                <c:pt idx="26">
                  <c:v>74261.760000000009</c:v>
                </c:pt>
                <c:pt idx="27">
                  <c:v>72628.439999999973</c:v>
                </c:pt>
                <c:pt idx="28">
                  <c:v>103479.19999999998</c:v>
                </c:pt>
                <c:pt idx="29">
                  <c:v>80599.83</c:v>
                </c:pt>
                <c:pt idx="30">
                  <c:v>89604.110000000015</c:v>
                </c:pt>
                <c:pt idx="31">
                  <c:v>66084.790000000008</c:v>
                </c:pt>
                <c:pt idx="32">
                  <c:v>62141.580000000009</c:v>
                </c:pt>
              </c:numCache>
            </c:numRef>
          </c:val>
          <c:smooth val="0"/>
          <c:extLst>
            <c:ext xmlns:c16="http://schemas.microsoft.com/office/drawing/2014/chart" uri="{C3380CC4-5D6E-409C-BE32-E72D297353CC}">
              <c16:uniqueId val="{00000000-B87B-44B1-B673-78EC734E48BE}"/>
            </c:ext>
          </c:extLst>
        </c:ser>
        <c:dLbls>
          <c:showLegendKey val="0"/>
          <c:showVal val="0"/>
          <c:showCatName val="0"/>
          <c:showSerName val="0"/>
          <c:showPercent val="0"/>
          <c:showBubbleSize val="0"/>
        </c:dLbls>
        <c:marker val="1"/>
        <c:smooth val="0"/>
        <c:axId val="1163073727"/>
        <c:axId val="1163069887"/>
      </c:lineChart>
      <c:catAx>
        <c:axId val="116307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69887"/>
        <c:crosses val="autoZero"/>
        <c:auto val="1"/>
        <c:lblAlgn val="ctr"/>
        <c:lblOffset val="100"/>
        <c:noMultiLvlLbl val="0"/>
      </c:catAx>
      <c:valAx>
        <c:axId val="116306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7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Analysis.xlsx]Sales by Region!PivotTable2</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Region'!$B$3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675313.97999999975</c:v>
                </c:pt>
                <c:pt idx="1">
                  <c:v>663969.35999999987</c:v>
                </c:pt>
                <c:pt idx="2">
                  <c:v>577445.75000000023</c:v>
                </c:pt>
                <c:pt idx="3">
                  <c:v>651233.30000000016</c:v>
                </c:pt>
              </c:numCache>
            </c:numRef>
          </c:val>
          <c:extLst>
            <c:ext xmlns:c16="http://schemas.microsoft.com/office/drawing/2014/chart" uri="{C3380CC4-5D6E-409C-BE32-E72D297353CC}">
              <c16:uniqueId val="{00000000-ECB3-4337-9C66-FB902C73D93A}"/>
            </c:ext>
          </c:extLst>
        </c:ser>
        <c:dLbls>
          <c:showLegendKey val="0"/>
          <c:showVal val="1"/>
          <c:showCatName val="0"/>
          <c:showSerName val="0"/>
          <c:showPercent val="0"/>
          <c:showBubbleSize val="0"/>
        </c:dLbls>
        <c:gapWidth val="65"/>
        <c:shape val="box"/>
        <c:axId val="1172404239"/>
        <c:axId val="1172415279"/>
        <c:axId val="0"/>
      </c:bar3DChart>
      <c:catAx>
        <c:axId val="11724042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2415279"/>
        <c:crosses val="autoZero"/>
        <c:auto val="1"/>
        <c:lblAlgn val="ctr"/>
        <c:lblOffset val="100"/>
        <c:noMultiLvlLbl val="0"/>
      </c:catAx>
      <c:valAx>
        <c:axId val="117241527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24042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Analysis.xlsx]Sales by Category!PivotTable3</c:name>
    <c:fmtId val="2"/>
  </c:pivotSource>
  <c:chart>
    <c:title>
      <c:layout>
        <c:manualLayout>
          <c:xMode val="edge"/>
          <c:yMode val="edge"/>
          <c:x val="0.45790884718498659"/>
          <c:y val="0.1293257460464500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972-48D8-9958-80285307CBA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972-48D8-9958-80285307CBA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972-48D8-9958-80285307CB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883602.33</c:v>
                </c:pt>
                <c:pt idx="1">
                  <c:v>849869.69</c:v>
                </c:pt>
                <c:pt idx="2">
                  <c:v>834490.36999999965</c:v>
                </c:pt>
              </c:numCache>
            </c:numRef>
          </c:val>
          <c:extLst>
            <c:ext xmlns:c16="http://schemas.microsoft.com/office/drawing/2014/chart" uri="{C3380CC4-5D6E-409C-BE32-E72D297353CC}">
              <c16:uniqueId val="{00000006-5972-48D8-9958-80285307CBA6}"/>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Analysis.xlsx]Monthly Sales Trend!PivotTable1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'Monthly Sales Trend'!$A$4:$A$37</c:f>
              <c:strCache>
                <c:ptCount val="33"/>
                <c:pt idx="0">
                  <c:v>Jan-2016</c:v>
                </c:pt>
                <c:pt idx="1">
                  <c:v>Feb-2016</c:v>
                </c:pt>
                <c:pt idx="2">
                  <c:v>Mar-2016</c:v>
                </c:pt>
                <c:pt idx="3">
                  <c:v>Apr-2016</c:v>
                </c:pt>
                <c:pt idx="4">
                  <c:v>May-2016</c:v>
                </c:pt>
                <c:pt idx="5">
                  <c:v>Jun-2016</c:v>
                </c:pt>
                <c:pt idx="6">
                  <c:v>Jul-2016</c:v>
                </c:pt>
                <c:pt idx="7">
                  <c:v>Aug-2016</c:v>
                </c:pt>
                <c:pt idx="8">
                  <c:v>Sep-2016</c:v>
                </c:pt>
                <c:pt idx="9">
                  <c:v>Oct-2016</c:v>
                </c:pt>
                <c:pt idx="10">
                  <c:v>Nov-2016</c:v>
                </c:pt>
                <c:pt idx="11">
                  <c:v>Dec-2016</c:v>
                </c:pt>
                <c:pt idx="12">
                  <c:v>Jan-2017</c:v>
                </c:pt>
                <c:pt idx="13">
                  <c:v>Feb-2017</c:v>
                </c:pt>
                <c:pt idx="14">
                  <c:v>Mar-2017</c:v>
                </c:pt>
                <c:pt idx="15">
                  <c:v>Apr-2017</c:v>
                </c:pt>
                <c:pt idx="16">
                  <c:v>May-2017</c:v>
                </c:pt>
                <c:pt idx="17">
                  <c:v>Jun-2017</c:v>
                </c:pt>
                <c:pt idx="18">
                  <c:v>Jul-2017</c:v>
                </c:pt>
                <c:pt idx="19">
                  <c:v>Aug-2017</c:v>
                </c:pt>
                <c:pt idx="20">
                  <c:v>Sep-2017</c:v>
                </c:pt>
                <c:pt idx="21">
                  <c:v>Oct-2017</c:v>
                </c:pt>
                <c:pt idx="22">
                  <c:v>Nov-2017</c:v>
                </c:pt>
                <c:pt idx="23">
                  <c:v>Dec-2017</c:v>
                </c:pt>
                <c:pt idx="24">
                  <c:v>Jan-2018</c:v>
                </c:pt>
                <c:pt idx="25">
                  <c:v>Feb-2018</c:v>
                </c:pt>
                <c:pt idx="26">
                  <c:v>Mar-2018</c:v>
                </c:pt>
                <c:pt idx="27">
                  <c:v>Apr-2018</c:v>
                </c:pt>
                <c:pt idx="28">
                  <c:v>May-2018</c:v>
                </c:pt>
                <c:pt idx="29">
                  <c:v>Jun-2018</c:v>
                </c:pt>
                <c:pt idx="30">
                  <c:v>Jul-2018</c:v>
                </c:pt>
                <c:pt idx="31">
                  <c:v>Aug-2018</c:v>
                </c:pt>
                <c:pt idx="32">
                  <c:v>Sep-2018</c:v>
                </c:pt>
              </c:strCache>
            </c:strRef>
          </c:cat>
          <c:val>
            <c:numRef>
              <c:f>'Monthly Sales Trend'!$B$4:$B$37</c:f>
              <c:numCache>
                <c:formatCode>General</c:formatCode>
                <c:ptCount val="33"/>
                <c:pt idx="0">
                  <c:v>65163.470000000008</c:v>
                </c:pt>
                <c:pt idx="1">
                  <c:v>97309.01</c:v>
                </c:pt>
                <c:pt idx="2">
                  <c:v>79032.379999999976</c:v>
                </c:pt>
                <c:pt idx="3">
                  <c:v>51759.520000000004</c:v>
                </c:pt>
                <c:pt idx="4">
                  <c:v>73686.059999999983</c:v>
                </c:pt>
                <c:pt idx="5">
                  <c:v>70963.000000000015</c:v>
                </c:pt>
                <c:pt idx="6">
                  <c:v>84587.150000000023</c:v>
                </c:pt>
                <c:pt idx="7">
                  <c:v>82667.959999999992</c:v>
                </c:pt>
                <c:pt idx="8">
                  <c:v>90396.970000000016</c:v>
                </c:pt>
                <c:pt idx="9">
                  <c:v>62761.590000000011</c:v>
                </c:pt>
                <c:pt idx="10">
                  <c:v>84516.99</c:v>
                </c:pt>
                <c:pt idx="11">
                  <c:v>117916.68999999997</c:v>
                </c:pt>
                <c:pt idx="12">
                  <c:v>90533.23</c:v>
                </c:pt>
                <c:pt idx="13">
                  <c:v>79401.37999999999</c:v>
                </c:pt>
                <c:pt idx="14">
                  <c:v>73974.36</c:v>
                </c:pt>
                <c:pt idx="15">
                  <c:v>69552.97</c:v>
                </c:pt>
                <c:pt idx="16">
                  <c:v>89937.23000000004</c:v>
                </c:pt>
                <c:pt idx="17">
                  <c:v>94354.23</c:v>
                </c:pt>
                <c:pt idx="18">
                  <c:v>88575.549999999974</c:v>
                </c:pt>
                <c:pt idx="19">
                  <c:v>55257.09</c:v>
                </c:pt>
                <c:pt idx="20">
                  <c:v>83779.549999999988</c:v>
                </c:pt>
                <c:pt idx="21">
                  <c:v>91250.83</c:v>
                </c:pt>
                <c:pt idx="22">
                  <c:v>56087.87999999999</c:v>
                </c:pt>
                <c:pt idx="23">
                  <c:v>75738.77</c:v>
                </c:pt>
                <c:pt idx="24">
                  <c:v>49279.969999999994</c:v>
                </c:pt>
                <c:pt idx="25">
                  <c:v>60678.85</c:v>
                </c:pt>
                <c:pt idx="26">
                  <c:v>74261.760000000009</c:v>
                </c:pt>
                <c:pt idx="27">
                  <c:v>72628.439999999973</c:v>
                </c:pt>
                <c:pt idx="28">
                  <c:v>103479.19999999998</c:v>
                </c:pt>
                <c:pt idx="29">
                  <c:v>80599.83</c:v>
                </c:pt>
                <c:pt idx="30">
                  <c:v>89604.110000000015</c:v>
                </c:pt>
                <c:pt idx="31">
                  <c:v>66084.790000000008</c:v>
                </c:pt>
                <c:pt idx="32">
                  <c:v>62141.580000000009</c:v>
                </c:pt>
              </c:numCache>
            </c:numRef>
          </c:val>
          <c:smooth val="0"/>
          <c:extLst>
            <c:ext xmlns:c16="http://schemas.microsoft.com/office/drawing/2014/chart" uri="{C3380CC4-5D6E-409C-BE32-E72D297353CC}">
              <c16:uniqueId val="{00000001-2232-4D73-854C-A907EF7EC894}"/>
            </c:ext>
          </c:extLst>
        </c:ser>
        <c:dLbls>
          <c:showLegendKey val="0"/>
          <c:showVal val="0"/>
          <c:showCatName val="0"/>
          <c:showSerName val="0"/>
          <c:showPercent val="0"/>
          <c:showBubbleSize val="0"/>
        </c:dLbls>
        <c:marker val="1"/>
        <c:smooth val="0"/>
        <c:axId val="1163073727"/>
        <c:axId val="1163069887"/>
      </c:lineChart>
      <c:catAx>
        <c:axId val="116307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69887"/>
        <c:crosses val="autoZero"/>
        <c:auto val="1"/>
        <c:lblAlgn val="ctr"/>
        <c:lblOffset val="100"/>
        <c:noMultiLvlLbl val="0"/>
      </c:catAx>
      <c:valAx>
        <c:axId val="116306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7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12700</xdr:colOff>
      <xdr:row>20</xdr:row>
      <xdr:rowOff>25400</xdr:rowOff>
    </xdr:to>
    <xdr:graphicFrame macro="">
      <xdr:nvGraphicFramePr>
        <xdr:cNvPr id="2" name="Chart 1">
          <a:extLst>
            <a:ext uri="{FF2B5EF4-FFF2-40B4-BE49-F238E27FC236}">
              <a16:creationId xmlns:a16="http://schemas.microsoft.com/office/drawing/2014/main" id="{CD3D242F-AE9D-F08D-A6AD-2AD312452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1</xdr:row>
      <xdr:rowOff>0</xdr:rowOff>
    </xdr:from>
    <xdr:to>
      <xdr:col>12</xdr:col>
      <xdr:colOff>0</xdr:colOff>
      <xdr:row>19</xdr:row>
      <xdr:rowOff>177800</xdr:rowOff>
    </xdr:to>
    <xdr:graphicFrame macro="">
      <xdr:nvGraphicFramePr>
        <xdr:cNvPr id="2" name="Chart 1">
          <a:extLst>
            <a:ext uri="{FF2B5EF4-FFF2-40B4-BE49-F238E27FC236}">
              <a16:creationId xmlns:a16="http://schemas.microsoft.com/office/drawing/2014/main" id="{BFB45A2E-2CCB-4588-F07E-2E1B99419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592666</xdr:colOff>
      <xdr:row>2</xdr:row>
      <xdr:rowOff>6350</xdr:rowOff>
    </xdr:from>
    <xdr:to>
      <xdr:col>13</xdr:col>
      <xdr:colOff>8466</xdr:colOff>
      <xdr:row>21</xdr:row>
      <xdr:rowOff>12699</xdr:rowOff>
    </xdr:to>
    <xdr:graphicFrame macro="">
      <xdr:nvGraphicFramePr>
        <xdr:cNvPr id="2" name="Chart 1">
          <a:extLst>
            <a:ext uri="{FF2B5EF4-FFF2-40B4-BE49-F238E27FC236}">
              <a16:creationId xmlns:a16="http://schemas.microsoft.com/office/drawing/2014/main" id="{8A28A4D5-E9A7-EA24-09FA-6BDA3AB0B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7</xdr:row>
      <xdr:rowOff>0</xdr:rowOff>
    </xdr:from>
    <xdr:to>
      <xdr:col>8</xdr:col>
      <xdr:colOff>0</xdr:colOff>
      <xdr:row>22</xdr:row>
      <xdr:rowOff>177800</xdr:rowOff>
    </xdr:to>
    <xdr:graphicFrame macro="">
      <xdr:nvGraphicFramePr>
        <xdr:cNvPr id="3" name="Chart 2">
          <a:extLst>
            <a:ext uri="{FF2B5EF4-FFF2-40B4-BE49-F238E27FC236}">
              <a16:creationId xmlns:a16="http://schemas.microsoft.com/office/drawing/2014/main" id="{523AC554-B647-4BBB-B7CE-9DD8A2D0C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362335</xdr:colOff>
      <xdr:row>7</xdr:row>
      <xdr:rowOff>961</xdr:rowOff>
    </xdr:from>
    <xdr:to>
      <xdr:col>14</xdr:col>
      <xdr:colOff>84859</xdr:colOff>
      <xdr:row>23</xdr:row>
      <xdr:rowOff>3207</xdr:rowOff>
    </xdr:to>
    <xdr:graphicFrame macro="">
      <xdr:nvGraphicFramePr>
        <xdr:cNvPr id="4" name="Chart 3">
          <a:extLst>
            <a:ext uri="{FF2B5EF4-FFF2-40B4-BE49-F238E27FC236}">
              <a16:creationId xmlns:a16="http://schemas.microsoft.com/office/drawing/2014/main" id="{78AAA8D2-F608-4122-9DBA-EE1730E3A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590902</xdr:colOff>
      <xdr:row>28</xdr:row>
      <xdr:rowOff>8818</xdr:rowOff>
    </xdr:from>
    <xdr:to>
      <xdr:col>14</xdr:col>
      <xdr:colOff>8818</xdr:colOff>
      <xdr:row>48</xdr:row>
      <xdr:rowOff>8819</xdr:rowOff>
    </xdr:to>
    <xdr:graphicFrame macro="">
      <xdr:nvGraphicFramePr>
        <xdr:cNvPr id="6" name="Chart 5">
          <a:extLst>
            <a:ext uri="{FF2B5EF4-FFF2-40B4-BE49-F238E27FC236}">
              <a16:creationId xmlns:a16="http://schemas.microsoft.com/office/drawing/2014/main" id="{095007DC-4592-4E46-AF39-83D4EA2CE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1842</xdr:colOff>
      <xdr:row>52</xdr:row>
      <xdr:rowOff>12564</xdr:rowOff>
    </xdr:from>
    <xdr:to>
      <xdr:col>8</xdr:col>
      <xdr:colOff>43450</xdr:colOff>
      <xdr:row>68</xdr:row>
      <xdr:rowOff>40531</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C3D2C133-AB6F-4BFD-81F0-651868111A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49478" y="10692109"/>
              <a:ext cx="3135790" cy="3528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1648870</xdr:colOff>
      <xdr:row>52</xdr:row>
      <xdr:rowOff>17703</xdr:rowOff>
    </xdr:from>
    <xdr:to>
      <xdr:col>13</xdr:col>
      <xdr:colOff>76944</xdr:colOff>
      <xdr:row>68</xdr:row>
      <xdr:rowOff>6561</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6B5BE70F-9401-4316-970B-302695670E4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174721" y="10866746"/>
              <a:ext cx="3224351" cy="3008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i khanna" refreshedDate="46116.641809259258" createdVersion="8" refreshedVersion="8" minRefreshableVersion="3" recordCount="1000" xr:uid="{649DD9AA-1F4F-4734-9C9C-6568157E7340}">
  <cacheSource type="worksheet">
    <worksheetSource ref="A1:G1001" sheet="Sales Data"/>
  </cacheSource>
  <cacheFields count="7">
    <cacheField name="Order ID" numFmtId="0">
      <sharedItems count="10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haredItems>
    </cacheField>
    <cacheField name="Order Date" numFmtId="164">
      <sharedItems/>
    </cacheField>
    <cacheField name="Months" numFmtId="165">
      <sharedItems containsSemiMixedTypes="0" containsNonDate="0" containsDate="1" containsString="0" minDate="2016-01-31T00:00:00" maxDate="2018-10-01T00:00:00" count="33">
        <d v="2016-07-31T00:00:00"/>
        <d v="2017-09-30T00:00:00"/>
        <d v="2018-05-31T00:00:00"/>
        <d v="2017-08-31T00:00:00"/>
        <d v="2018-03-31T00:00:00"/>
        <d v="2018-02-28T00:00:00"/>
        <d v="2016-08-31T00:00:00"/>
        <d v="2017-02-28T00:00:00"/>
        <d v="2018-08-31T00:00:00"/>
        <d v="2017-03-31T00:00:00"/>
        <d v="2017-10-31T00:00:00"/>
        <d v="2018-04-30T00:00:00"/>
        <d v="2016-01-31T00:00:00"/>
        <d v="2016-04-30T00:00:00"/>
        <d v="2017-05-31T00:00:00"/>
        <d v="2018-07-31T00:00:00"/>
        <d v="2016-03-31T00:00:00"/>
        <d v="2017-06-30T00:00:00"/>
        <d v="2018-01-31T00:00:00"/>
        <d v="2017-01-31T00:00:00"/>
        <d v="2018-09-30T00:00:00"/>
        <d v="2017-04-30T00:00:00"/>
        <d v="2016-05-31T00:00:00"/>
        <d v="2016-02-29T00:00:00"/>
        <d v="2016-12-31T00:00:00"/>
        <d v="2016-10-31T00:00:00"/>
        <d v="2017-12-31T00:00:00"/>
        <d v="2016-11-30T00:00:00"/>
        <d v="2016-09-30T00:00:00"/>
        <d v="2017-11-30T00:00:00"/>
        <d v="2016-06-30T00:00:00"/>
        <d v="2018-06-30T00:00:00"/>
        <d v="2017-07-31T00:00:00"/>
      </sharedItems>
    </cacheField>
    <cacheField name="Region" numFmtId="0">
      <sharedItems count="4">
        <s v="West"/>
        <s v="East"/>
        <s v="South"/>
        <s v="North"/>
      </sharedItems>
    </cacheField>
    <cacheField name="Category" numFmtId="0">
      <sharedItems count="3">
        <s v="Technology"/>
        <s v="Furniture"/>
        <s v="Office Supplies"/>
      </sharedItems>
    </cacheField>
    <cacheField name="Sales" numFmtId="0">
      <sharedItems containsSemiMixedTypes="0" containsString="0" containsNumber="1" minValue="100.97" maxValue="4990.5600000000004"/>
    </cacheField>
    <cacheField name="Profit" numFmtId="0">
      <sharedItems containsSemiMixedTypes="0" containsString="0" containsNumber="1" minValue="6.24" maxValue="1407.48"/>
    </cacheField>
  </cacheFields>
  <extLst>
    <ext xmlns:x14="http://schemas.microsoft.com/office/spreadsheetml/2009/9/main" uri="{725AE2AE-9491-48be-B2B4-4EB974FC3084}">
      <x14:pivotCacheDefinition pivotCacheId="211549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11-07-2016"/>
    <x v="0"/>
    <x v="0"/>
    <x v="0"/>
    <n v="4600.26"/>
    <n v="1313.72"/>
  </r>
  <r>
    <x v="1"/>
    <s v="09-09-2017"/>
    <x v="1"/>
    <x v="1"/>
    <x v="1"/>
    <n v="492.79"/>
    <n v="101.33"/>
  </r>
  <r>
    <x v="2"/>
    <s v="01-05-2018"/>
    <x v="2"/>
    <x v="2"/>
    <x v="1"/>
    <n v="1413.55"/>
    <n v="148.93"/>
  </r>
  <r>
    <x v="3"/>
    <s v="14-08-2017"/>
    <x v="3"/>
    <x v="1"/>
    <x v="1"/>
    <n v="4053.67"/>
    <n v="281.31"/>
  </r>
  <r>
    <x v="4"/>
    <s v="18-03-2018"/>
    <x v="4"/>
    <x v="1"/>
    <x v="0"/>
    <n v="3365.26"/>
    <n v="1000.74"/>
  </r>
  <r>
    <x v="5"/>
    <s v="05-02-2018"/>
    <x v="5"/>
    <x v="2"/>
    <x v="0"/>
    <n v="2527.94"/>
    <n v="220.24"/>
  </r>
  <r>
    <x v="6"/>
    <s v="17-08-2016"/>
    <x v="6"/>
    <x v="0"/>
    <x v="2"/>
    <n v="333.76"/>
    <n v="18.29"/>
  </r>
  <r>
    <x v="7"/>
    <s v="04-02-2017"/>
    <x v="7"/>
    <x v="1"/>
    <x v="0"/>
    <n v="4382.2299999999996"/>
    <n v="471.2"/>
  </r>
  <r>
    <x v="8"/>
    <s v="10-08-2016"/>
    <x v="6"/>
    <x v="0"/>
    <x v="1"/>
    <n v="4257.8999999999996"/>
    <n v="351.39"/>
  </r>
  <r>
    <x v="9"/>
    <s v="04-08-2018"/>
    <x v="8"/>
    <x v="2"/>
    <x v="2"/>
    <n v="1532.22"/>
    <n v="394.95"/>
  </r>
  <r>
    <x v="10"/>
    <s v="09-08-2017"/>
    <x v="3"/>
    <x v="0"/>
    <x v="0"/>
    <n v="1367.54"/>
    <n v="289.58999999999997"/>
  </r>
  <r>
    <x v="11"/>
    <s v="11-07-2016"/>
    <x v="0"/>
    <x v="2"/>
    <x v="2"/>
    <n v="1980.29"/>
    <n v="124.98"/>
  </r>
  <r>
    <x v="12"/>
    <s v="23-03-2017"/>
    <x v="9"/>
    <x v="3"/>
    <x v="0"/>
    <n v="1308.1500000000001"/>
    <n v="159.16"/>
  </r>
  <r>
    <x v="13"/>
    <s v="29-08-2017"/>
    <x v="3"/>
    <x v="3"/>
    <x v="0"/>
    <n v="539.57000000000005"/>
    <n v="70.13"/>
  </r>
  <r>
    <x v="14"/>
    <s v="01-10-2017"/>
    <x v="10"/>
    <x v="1"/>
    <x v="0"/>
    <n v="4812.74"/>
    <n v="927.03"/>
  </r>
  <r>
    <x v="15"/>
    <s v="16-04-2018"/>
    <x v="11"/>
    <x v="0"/>
    <x v="1"/>
    <n v="1850.66"/>
    <n v="517.80999999999995"/>
  </r>
  <r>
    <x v="16"/>
    <s v="26-01-2016"/>
    <x v="12"/>
    <x v="0"/>
    <x v="0"/>
    <n v="3835.06"/>
    <n v="247.54"/>
  </r>
  <r>
    <x v="17"/>
    <s v="26-04-2016"/>
    <x v="13"/>
    <x v="1"/>
    <x v="2"/>
    <n v="3278.22"/>
    <n v="827.79"/>
  </r>
  <r>
    <x v="18"/>
    <s v="25-08-2016"/>
    <x v="6"/>
    <x v="0"/>
    <x v="0"/>
    <n v="1590.52"/>
    <n v="219.2"/>
  </r>
  <r>
    <x v="19"/>
    <s v="19-05-2017"/>
    <x v="14"/>
    <x v="1"/>
    <x v="2"/>
    <n v="580.11"/>
    <n v="98.82"/>
  </r>
  <r>
    <x v="20"/>
    <s v="03-07-2018"/>
    <x v="15"/>
    <x v="1"/>
    <x v="1"/>
    <n v="487.72"/>
    <n v="66.510000000000005"/>
  </r>
  <r>
    <x v="21"/>
    <s v="28-05-2018"/>
    <x v="2"/>
    <x v="2"/>
    <x v="0"/>
    <n v="3455.1"/>
    <n v="449"/>
  </r>
  <r>
    <x v="22"/>
    <s v="27-03-2016"/>
    <x v="16"/>
    <x v="0"/>
    <x v="2"/>
    <n v="4674.72"/>
    <n v="933.99"/>
  </r>
  <r>
    <x v="23"/>
    <s v="20-03-2018"/>
    <x v="4"/>
    <x v="2"/>
    <x v="1"/>
    <n v="1156.0999999999999"/>
    <n v="336.05"/>
  </r>
  <r>
    <x v="24"/>
    <s v="03-06-2017"/>
    <x v="17"/>
    <x v="3"/>
    <x v="1"/>
    <n v="3722.59"/>
    <n v="197.17"/>
  </r>
  <r>
    <x v="25"/>
    <s v="19-01-2018"/>
    <x v="18"/>
    <x v="0"/>
    <x v="2"/>
    <n v="1469.56"/>
    <n v="399.54"/>
  </r>
  <r>
    <x v="26"/>
    <s v="09-07-2016"/>
    <x v="0"/>
    <x v="0"/>
    <x v="1"/>
    <n v="3807.57"/>
    <n v="270.56"/>
  </r>
  <r>
    <x v="27"/>
    <s v="13-01-2017"/>
    <x v="19"/>
    <x v="0"/>
    <x v="1"/>
    <n v="3279.16"/>
    <n v="693.76"/>
  </r>
  <r>
    <x v="28"/>
    <s v="26-09-2018"/>
    <x v="20"/>
    <x v="0"/>
    <x v="1"/>
    <n v="2688.2"/>
    <n v="279.89999999999998"/>
  </r>
  <r>
    <x v="29"/>
    <s v="07-07-2016"/>
    <x v="0"/>
    <x v="0"/>
    <x v="0"/>
    <n v="1584.59"/>
    <n v="277.18"/>
  </r>
  <r>
    <x v="30"/>
    <s v="24-04-2017"/>
    <x v="21"/>
    <x v="0"/>
    <x v="2"/>
    <n v="3328.41"/>
    <n v="832.98"/>
  </r>
  <r>
    <x v="31"/>
    <s v="23-07-2016"/>
    <x v="0"/>
    <x v="1"/>
    <x v="1"/>
    <n v="4838.83"/>
    <n v="334.35"/>
  </r>
  <r>
    <x v="32"/>
    <s v="21-05-2016"/>
    <x v="22"/>
    <x v="1"/>
    <x v="0"/>
    <n v="3277.6"/>
    <n v="311.41000000000003"/>
  </r>
  <r>
    <x v="33"/>
    <s v="24-05-2017"/>
    <x v="14"/>
    <x v="1"/>
    <x v="2"/>
    <n v="1176.0899999999999"/>
    <n v="94.9"/>
  </r>
  <r>
    <x v="34"/>
    <s v="23-01-2016"/>
    <x v="12"/>
    <x v="2"/>
    <x v="0"/>
    <n v="884.48"/>
    <n v="163.71"/>
  </r>
  <r>
    <x v="35"/>
    <s v="21-04-2017"/>
    <x v="21"/>
    <x v="0"/>
    <x v="2"/>
    <n v="485.48"/>
    <n v="42.2"/>
  </r>
  <r>
    <x v="36"/>
    <s v="16-01-2017"/>
    <x v="19"/>
    <x v="2"/>
    <x v="2"/>
    <n v="4207.5"/>
    <n v="575.69000000000005"/>
  </r>
  <r>
    <x v="37"/>
    <s v="23-07-2018"/>
    <x v="15"/>
    <x v="3"/>
    <x v="0"/>
    <n v="4949.3599999999997"/>
    <n v="1348.93"/>
  </r>
  <r>
    <x v="38"/>
    <s v="13-01-2017"/>
    <x v="19"/>
    <x v="3"/>
    <x v="1"/>
    <n v="3289.36"/>
    <n v="870.67"/>
  </r>
  <r>
    <x v="39"/>
    <s v="20-02-2016"/>
    <x v="23"/>
    <x v="0"/>
    <x v="1"/>
    <n v="3248.26"/>
    <n v="625.30999999999995"/>
  </r>
  <r>
    <x v="40"/>
    <s v="13-12-2016"/>
    <x v="24"/>
    <x v="0"/>
    <x v="0"/>
    <n v="2981.04"/>
    <n v="824.25"/>
  </r>
  <r>
    <x v="41"/>
    <s v="07-10-2016"/>
    <x v="25"/>
    <x v="3"/>
    <x v="2"/>
    <n v="4346.25"/>
    <n v="742.44"/>
  </r>
  <r>
    <x v="42"/>
    <s v="24-05-2018"/>
    <x v="2"/>
    <x v="1"/>
    <x v="2"/>
    <n v="3132.5"/>
    <n v="247.31"/>
  </r>
  <r>
    <x v="43"/>
    <s v="27-04-2017"/>
    <x v="21"/>
    <x v="0"/>
    <x v="2"/>
    <n v="4050"/>
    <n v="766.62"/>
  </r>
  <r>
    <x v="44"/>
    <s v="10-07-2018"/>
    <x v="15"/>
    <x v="0"/>
    <x v="2"/>
    <n v="3647.73"/>
    <n v="1046.06"/>
  </r>
  <r>
    <x v="45"/>
    <s v="04-12-2017"/>
    <x v="26"/>
    <x v="2"/>
    <x v="1"/>
    <n v="3993.9"/>
    <n v="606.37"/>
  </r>
  <r>
    <x v="46"/>
    <s v="03-11-2016"/>
    <x v="27"/>
    <x v="2"/>
    <x v="2"/>
    <n v="4598.3500000000004"/>
    <n v="557.28"/>
  </r>
  <r>
    <x v="47"/>
    <s v="27-02-2016"/>
    <x v="23"/>
    <x v="3"/>
    <x v="1"/>
    <n v="3535.29"/>
    <n v="850.84"/>
  </r>
  <r>
    <x v="48"/>
    <s v="06-09-2016"/>
    <x v="28"/>
    <x v="1"/>
    <x v="2"/>
    <n v="2891.35"/>
    <n v="607.67999999999995"/>
  </r>
  <r>
    <x v="49"/>
    <s v="04-03-2017"/>
    <x v="9"/>
    <x v="2"/>
    <x v="0"/>
    <n v="4532.9799999999996"/>
    <n v="1143.29"/>
  </r>
  <r>
    <x v="50"/>
    <s v="04-04-2017"/>
    <x v="21"/>
    <x v="2"/>
    <x v="2"/>
    <n v="3549.36"/>
    <n v="468.55"/>
  </r>
  <r>
    <x v="51"/>
    <s v="30-05-2017"/>
    <x v="14"/>
    <x v="0"/>
    <x v="0"/>
    <n v="3347.56"/>
    <n v="501.53"/>
  </r>
  <r>
    <x v="52"/>
    <s v="24-11-2017"/>
    <x v="29"/>
    <x v="0"/>
    <x v="1"/>
    <n v="1940.48"/>
    <n v="214.02"/>
  </r>
  <r>
    <x v="53"/>
    <s v="27-06-2017"/>
    <x v="17"/>
    <x v="2"/>
    <x v="0"/>
    <n v="2350.11"/>
    <n v="575.13"/>
  </r>
  <r>
    <x v="54"/>
    <s v="07-03-2016"/>
    <x v="16"/>
    <x v="3"/>
    <x v="0"/>
    <n v="4925.93"/>
    <n v="618.38"/>
  </r>
  <r>
    <x v="55"/>
    <s v="26-09-2017"/>
    <x v="1"/>
    <x v="1"/>
    <x v="0"/>
    <n v="110.24"/>
    <n v="24.85"/>
  </r>
  <r>
    <x v="56"/>
    <s v="01-04-2016"/>
    <x v="13"/>
    <x v="2"/>
    <x v="1"/>
    <n v="3242.28"/>
    <n v="827.26"/>
  </r>
  <r>
    <x v="57"/>
    <s v="21-02-2016"/>
    <x v="23"/>
    <x v="3"/>
    <x v="0"/>
    <n v="3694.97"/>
    <n v="479.12"/>
  </r>
  <r>
    <x v="58"/>
    <s v="08-09-2016"/>
    <x v="28"/>
    <x v="1"/>
    <x v="0"/>
    <n v="991.91"/>
    <n v="192.6"/>
  </r>
  <r>
    <x v="59"/>
    <s v="27-03-2016"/>
    <x v="16"/>
    <x v="2"/>
    <x v="0"/>
    <n v="3274.28"/>
    <n v="297.02999999999997"/>
  </r>
  <r>
    <x v="60"/>
    <s v="04-04-2018"/>
    <x v="11"/>
    <x v="2"/>
    <x v="2"/>
    <n v="4223.17"/>
    <n v="338.65"/>
  </r>
  <r>
    <x v="61"/>
    <s v="09-08-2016"/>
    <x v="6"/>
    <x v="1"/>
    <x v="0"/>
    <n v="152.4"/>
    <n v="18.68"/>
  </r>
  <r>
    <x v="62"/>
    <s v="13-12-2016"/>
    <x v="24"/>
    <x v="1"/>
    <x v="2"/>
    <n v="3156.98"/>
    <n v="876.43"/>
  </r>
  <r>
    <x v="63"/>
    <s v="14-05-2016"/>
    <x v="22"/>
    <x v="0"/>
    <x v="0"/>
    <n v="887.51"/>
    <n v="63.83"/>
  </r>
  <r>
    <x v="64"/>
    <s v="01-09-2016"/>
    <x v="28"/>
    <x v="1"/>
    <x v="2"/>
    <n v="1686.82"/>
    <n v="158.72"/>
  </r>
  <r>
    <x v="65"/>
    <s v="19-10-2017"/>
    <x v="10"/>
    <x v="2"/>
    <x v="2"/>
    <n v="4902.6099999999997"/>
    <n v="1160.32"/>
  </r>
  <r>
    <x v="66"/>
    <s v="01-08-2018"/>
    <x v="8"/>
    <x v="1"/>
    <x v="2"/>
    <n v="4121.8599999999997"/>
    <n v="542.19000000000005"/>
  </r>
  <r>
    <x v="67"/>
    <s v="17-09-2018"/>
    <x v="20"/>
    <x v="3"/>
    <x v="1"/>
    <n v="2754.34"/>
    <n v="205.88"/>
  </r>
  <r>
    <x v="68"/>
    <s v="24-11-2017"/>
    <x v="29"/>
    <x v="0"/>
    <x v="1"/>
    <n v="3358.77"/>
    <n v="773.04"/>
  </r>
  <r>
    <x v="69"/>
    <s v="29-03-2018"/>
    <x v="4"/>
    <x v="1"/>
    <x v="2"/>
    <n v="4832.1099999999997"/>
    <n v="1172.04"/>
  </r>
  <r>
    <x v="70"/>
    <s v="14-10-2017"/>
    <x v="10"/>
    <x v="1"/>
    <x v="2"/>
    <n v="4161.04"/>
    <n v="1223.19"/>
  </r>
  <r>
    <x v="71"/>
    <s v="15-02-2018"/>
    <x v="5"/>
    <x v="0"/>
    <x v="1"/>
    <n v="521.48"/>
    <n v="88.94"/>
  </r>
  <r>
    <x v="72"/>
    <s v="10-03-2017"/>
    <x v="9"/>
    <x v="1"/>
    <x v="1"/>
    <n v="2227.65"/>
    <n v="487.85"/>
  </r>
  <r>
    <x v="73"/>
    <s v="20-10-2017"/>
    <x v="10"/>
    <x v="3"/>
    <x v="0"/>
    <n v="4267"/>
    <n v="321.89"/>
  </r>
  <r>
    <x v="74"/>
    <s v="05-03-2018"/>
    <x v="4"/>
    <x v="0"/>
    <x v="1"/>
    <n v="499.4"/>
    <n v="97.96"/>
  </r>
  <r>
    <x v="75"/>
    <s v="24-02-2017"/>
    <x v="7"/>
    <x v="1"/>
    <x v="0"/>
    <n v="3434.58"/>
    <n v="578.95000000000005"/>
  </r>
  <r>
    <x v="76"/>
    <s v="20-10-2016"/>
    <x v="25"/>
    <x v="3"/>
    <x v="1"/>
    <n v="2456.25"/>
    <n v="274.73"/>
  </r>
  <r>
    <x v="77"/>
    <s v="20-09-2016"/>
    <x v="28"/>
    <x v="0"/>
    <x v="0"/>
    <n v="1206.3599999999999"/>
    <n v="208.28"/>
  </r>
  <r>
    <x v="78"/>
    <s v="29-11-2016"/>
    <x v="27"/>
    <x v="0"/>
    <x v="2"/>
    <n v="3960.67"/>
    <n v="733.02"/>
  </r>
  <r>
    <x v="79"/>
    <s v="25-06-2017"/>
    <x v="17"/>
    <x v="3"/>
    <x v="2"/>
    <n v="2384.0300000000002"/>
    <n v="677.2"/>
  </r>
  <r>
    <x v="80"/>
    <s v="10-10-2017"/>
    <x v="10"/>
    <x v="1"/>
    <x v="1"/>
    <n v="1719.21"/>
    <n v="491.17"/>
  </r>
  <r>
    <x v="81"/>
    <s v="10-09-2018"/>
    <x v="20"/>
    <x v="1"/>
    <x v="2"/>
    <n v="3273.79"/>
    <n v="380.23"/>
  </r>
  <r>
    <x v="82"/>
    <s v="08-06-2016"/>
    <x v="30"/>
    <x v="2"/>
    <x v="0"/>
    <n v="1084.07"/>
    <n v="86.86"/>
  </r>
  <r>
    <x v="83"/>
    <s v="12-11-2017"/>
    <x v="29"/>
    <x v="3"/>
    <x v="2"/>
    <n v="541.53"/>
    <n v="45.1"/>
  </r>
  <r>
    <x v="84"/>
    <s v="29-04-2016"/>
    <x v="13"/>
    <x v="1"/>
    <x v="2"/>
    <n v="4811.95"/>
    <n v="891.4"/>
  </r>
  <r>
    <x v="85"/>
    <s v="15-05-2017"/>
    <x v="14"/>
    <x v="0"/>
    <x v="0"/>
    <n v="1781.93"/>
    <n v="407.51"/>
  </r>
  <r>
    <x v="86"/>
    <s v="05-12-2017"/>
    <x v="26"/>
    <x v="1"/>
    <x v="0"/>
    <n v="3866.94"/>
    <n v="608.74"/>
  </r>
  <r>
    <x v="87"/>
    <s v="14-08-2016"/>
    <x v="6"/>
    <x v="1"/>
    <x v="0"/>
    <n v="816.03"/>
    <n v="175.84"/>
  </r>
  <r>
    <x v="88"/>
    <s v="04-03-2016"/>
    <x v="16"/>
    <x v="1"/>
    <x v="1"/>
    <n v="2507.16"/>
    <n v="445.21"/>
  </r>
  <r>
    <x v="89"/>
    <s v="07-09-2018"/>
    <x v="20"/>
    <x v="0"/>
    <x v="1"/>
    <n v="1373.73"/>
    <n v="412.01"/>
  </r>
  <r>
    <x v="90"/>
    <s v="24-08-2016"/>
    <x v="6"/>
    <x v="0"/>
    <x v="0"/>
    <n v="2667.05"/>
    <n v="764.62"/>
  </r>
  <r>
    <x v="91"/>
    <s v="29-05-2018"/>
    <x v="2"/>
    <x v="0"/>
    <x v="0"/>
    <n v="3080.55"/>
    <n v="836.52"/>
  </r>
  <r>
    <x v="92"/>
    <s v="09-06-2018"/>
    <x v="31"/>
    <x v="2"/>
    <x v="2"/>
    <n v="2445.21"/>
    <n v="159.38999999999999"/>
  </r>
  <r>
    <x v="93"/>
    <s v="03-05-2016"/>
    <x v="22"/>
    <x v="3"/>
    <x v="1"/>
    <n v="2195.88"/>
    <n v="388.72"/>
  </r>
  <r>
    <x v="94"/>
    <s v="31-08-2017"/>
    <x v="3"/>
    <x v="2"/>
    <x v="0"/>
    <n v="786.04"/>
    <n v="158.71"/>
  </r>
  <r>
    <x v="95"/>
    <s v="02-06-2016"/>
    <x v="30"/>
    <x v="3"/>
    <x v="1"/>
    <n v="2697.87"/>
    <n v="411.99"/>
  </r>
  <r>
    <x v="96"/>
    <s v="20-07-2018"/>
    <x v="15"/>
    <x v="2"/>
    <x v="2"/>
    <n v="2465.79"/>
    <n v="397.77"/>
  </r>
  <r>
    <x v="97"/>
    <s v="20-04-2018"/>
    <x v="11"/>
    <x v="2"/>
    <x v="2"/>
    <n v="2341.8200000000002"/>
    <n v="625.6"/>
  </r>
  <r>
    <x v="98"/>
    <s v="19-05-2017"/>
    <x v="14"/>
    <x v="3"/>
    <x v="2"/>
    <n v="4194.63"/>
    <n v="709.59"/>
  </r>
  <r>
    <x v="99"/>
    <s v="11-07-2018"/>
    <x v="15"/>
    <x v="1"/>
    <x v="2"/>
    <n v="2453.27"/>
    <n v="492.01"/>
  </r>
  <r>
    <x v="100"/>
    <s v="27-09-2016"/>
    <x v="28"/>
    <x v="1"/>
    <x v="2"/>
    <n v="2167.36"/>
    <n v="298.33"/>
  </r>
  <r>
    <x v="101"/>
    <s v="16-03-2018"/>
    <x v="4"/>
    <x v="0"/>
    <x v="0"/>
    <n v="1586.37"/>
    <n v="317.63"/>
  </r>
  <r>
    <x v="102"/>
    <s v="28-10-2017"/>
    <x v="10"/>
    <x v="0"/>
    <x v="2"/>
    <n v="4073.33"/>
    <n v="874.01"/>
  </r>
  <r>
    <x v="103"/>
    <s v="24-02-2016"/>
    <x v="23"/>
    <x v="1"/>
    <x v="2"/>
    <n v="3720.83"/>
    <n v="729"/>
  </r>
  <r>
    <x v="104"/>
    <s v="10-02-2017"/>
    <x v="7"/>
    <x v="3"/>
    <x v="2"/>
    <n v="4675.59"/>
    <n v="565.79999999999995"/>
  </r>
  <r>
    <x v="105"/>
    <s v="12-01-2018"/>
    <x v="18"/>
    <x v="2"/>
    <x v="2"/>
    <n v="1441.74"/>
    <n v="143.76"/>
  </r>
  <r>
    <x v="106"/>
    <s v="18-11-2017"/>
    <x v="29"/>
    <x v="1"/>
    <x v="0"/>
    <n v="4212.63"/>
    <n v="999.64"/>
  </r>
  <r>
    <x v="107"/>
    <s v="27-09-2018"/>
    <x v="20"/>
    <x v="1"/>
    <x v="1"/>
    <n v="795.68"/>
    <n v="188.65"/>
  </r>
  <r>
    <x v="108"/>
    <s v="18-01-2016"/>
    <x v="12"/>
    <x v="1"/>
    <x v="2"/>
    <n v="2065.0500000000002"/>
    <n v="572.15"/>
  </r>
  <r>
    <x v="109"/>
    <s v="09-04-2018"/>
    <x v="11"/>
    <x v="0"/>
    <x v="1"/>
    <n v="438.29"/>
    <n v="39.11"/>
  </r>
  <r>
    <x v="110"/>
    <s v="30-09-2016"/>
    <x v="28"/>
    <x v="0"/>
    <x v="1"/>
    <n v="2084.39"/>
    <n v="425.09"/>
  </r>
  <r>
    <x v="111"/>
    <s v="09-09-2016"/>
    <x v="28"/>
    <x v="0"/>
    <x v="0"/>
    <n v="3721.49"/>
    <n v="463.79"/>
  </r>
  <r>
    <x v="112"/>
    <s v="17-01-2017"/>
    <x v="19"/>
    <x v="3"/>
    <x v="0"/>
    <n v="2113.33"/>
    <n v="319.73"/>
  </r>
  <r>
    <x v="113"/>
    <s v="02-03-2018"/>
    <x v="4"/>
    <x v="2"/>
    <x v="2"/>
    <n v="1211.47"/>
    <n v="206.51"/>
  </r>
  <r>
    <x v="114"/>
    <s v="11-12-2017"/>
    <x v="26"/>
    <x v="0"/>
    <x v="2"/>
    <n v="2948.27"/>
    <n v="168.98"/>
  </r>
  <r>
    <x v="115"/>
    <s v="04-10-2016"/>
    <x v="25"/>
    <x v="1"/>
    <x v="0"/>
    <n v="3718.94"/>
    <n v="677.04"/>
  </r>
  <r>
    <x v="116"/>
    <s v="22-04-2018"/>
    <x v="11"/>
    <x v="3"/>
    <x v="0"/>
    <n v="2153.0500000000002"/>
    <n v="196.06"/>
  </r>
  <r>
    <x v="117"/>
    <s v="03-01-2017"/>
    <x v="19"/>
    <x v="1"/>
    <x v="1"/>
    <n v="3085.01"/>
    <n v="848.77"/>
  </r>
  <r>
    <x v="118"/>
    <s v="23-03-2016"/>
    <x v="16"/>
    <x v="3"/>
    <x v="0"/>
    <n v="4123.53"/>
    <n v="736.35"/>
  </r>
  <r>
    <x v="119"/>
    <s v="17-06-2018"/>
    <x v="31"/>
    <x v="0"/>
    <x v="1"/>
    <n v="915.08"/>
    <n v="125.03"/>
  </r>
  <r>
    <x v="120"/>
    <s v="29-03-2017"/>
    <x v="9"/>
    <x v="3"/>
    <x v="0"/>
    <n v="205.84"/>
    <n v="54.1"/>
  </r>
  <r>
    <x v="121"/>
    <s v="29-09-2016"/>
    <x v="28"/>
    <x v="0"/>
    <x v="1"/>
    <n v="2391.0300000000002"/>
    <n v="157.58000000000001"/>
  </r>
  <r>
    <x v="122"/>
    <s v="17-12-2017"/>
    <x v="26"/>
    <x v="2"/>
    <x v="2"/>
    <n v="4604.2"/>
    <n v="319.47000000000003"/>
  </r>
  <r>
    <x v="123"/>
    <s v="21-05-2017"/>
    <x v="14"/>
    <x v="2"/>
    <x v="2"/>
    <n v="1910.59"/>
    <n v="296.13"/>
  </r>
  <r>
    <x v="124"/>
    <s v="30-10-2016"/>
    <x v="25"/>
    <x v="2"/>
    <x v="1"/>
    <n v="4469.8599999999997"/>
    <n v="993.06"/>
  </r>
  <r>
    <x v="125"/>
    <s v="07-06-2017"/>
    <x v="17"/>
    <x v="1"/>
    <x v="2"/>
    <n v="3988.72"/>
    <n v="213.17"/>
  </r>
  <r>
    <x v="126"/>
    <s v="20-03-2018"/>
    <x v="4"/>
    <x v="0"/>
    <x v="2"/>
    <n v="4487.8500000000004"/>
    <n v="293.77"/>
  </r>
  <r>
    <x v="127"/>
    <s v="06-03-2018"/>
    <x v="4"/>
    <x v="3"/>
    <x v="2"/>
    <n v="316.25"/>
    <n v="82.26"/>
  </r>
  <r>
    <x v="128"/>
    <s v="30-05-2016"/>
    <x v="22"/>
    <x v="2"/>
    <x v="1"/>
    <n v="621"/>
    <n v="54.07"/>
  </r>
  <r>
    <x v="129"/>
    <s v="30-03-2018"/>
    <x v="4"/>
    <x v="0"/>
    <x v="1"/>
    <n v="407.72"/>
    <n v="22.86"/>
  </r>
  <r>
    <x v="130"/>
    <s v="30-12-2017"/>
    <x v="26"/>
    <x v="3"/>
    <x v="1"/>
    <n v="4672.29"/>
    <n v="458.82"/>
  </r>
  <r>
    <x v="131"/>
    <s v="30-09-2017"/>
    <x v="1"/>
    <x v="1"/>
    <x v="2"/>
    <n v="1765.41"/>
    <n v="461.2"/>
  </r>
  <r>
    <x v="132"/>
    <s v="01-11-2016"/>
    <x v="27"/>
    <x v="3"/>
    <x v="0"/>
    <n v="3390.43"/>
    <n v="216.72"/>
  </r>
  <r>
    <x v="133"/>
    <s v="24-12-2016"/>
    <x v="24"/>
    <x v="1"/>
    <x v="2"/>
    <n v="1588.1"/>
    <n v="368.52"/>
  </r>
  <r>
    <x v="134"/>
    <s v="27-09-2016"/>
    <x v="28"/>
    <x v="2"/>
    <x v="0"/>
    <n v="2643.11"/>
    <n v="367.18"/>
  </r>
  <r>
    <x v="135"/>
    <s v="16-07-2017"/>
    <x v="32"/>
    <x v="2"/>
    <x v="1"/>
    <n v="1457.97"/>
    <n v="323.89999999999998"/>
  </r>
  <r>
    <x v="136"/>
    <s v="03-04-2016"/>
    <x v="13"/>
    <x v="2"/>
    <x v="2"/>
    <n v="1807.58"/>
    <n v="275.16000000000003"/>
  </r>
  <r>
    <x v="137"/>
    <s v="19-03-2016"/>
    <x v="16"/>
    <x v="1"/>
    <x v="2"/>
    <n v="2119.12"/>
    <n v="250.78"/>
  </r>
  <r>
    <x v="138"/>
    <s v="30-04-2016"/>
    <x v="13"/>
    <x v="1"/>
    <x v="2"/>
    <n v="2504.5"/>
    <n v="291.64"/>
  </r>
  <r>
    <x v="139"/>
    <s v="25-06-2018"/>
    <x v="31"/>
    <x v="3"/>
    <x v="1"/>
    <n v="4363.7"/>
    <n v="1225.8"/>
  </r>
  <r>
    <x v="140"/>
    <s v="03-02-2017"/>
    <x v="7"/>
    <x v="2"/>
    <x v="0"/>
    <n v="4480.59"/>
    <n v="584.39"/>
  </r>
  <r>
    <x v="141"/>
    <s v="20-01-2016"/>
    <x v="12"/>
    <x v="0"/>
    <x v="0"/>
    <n v="459.34"/>
    <n v="29.58"/>
  </r>
  <r>
    <x v="142"/>
    <s v="05-06-2017"/>
    <x v="17"/>
    <x v="0"/>
    <x v="0"/>
    <n v="1842.61"/>
    <n v="484.13"/>
  </r>
  <r>
    <x v="143"/>
    <s v="28-07-2016"/>
    <x v="0"/>
    <x v="1"/>
    <x v="1"/>
    <n v="642.23"/>
    <n v="156.01"/>
  </r>
  <r>
    <x v="144"/>
    <s v="18-02-2016"/>
    <x v="23"/>
    <x v="2"/>
    <x v="2"/>
    <n v="2358.9899999999998"/>
    <n v="576.04999999999995"/>
  </r>
  <r>
    <x v="145"/>
    <s v="25-03-2017"/>
    <x v="9"/>
    <x v="1"/>
    <x v="2"/>
    <n v="2391.87"/>
    <n v="188.79"/>
  </r>
  <r>
    <x v="146"/>
    <s v="12-07-2018"/>
    <x v="15"/>
    <x v="2"/>
    <x v="1"/>
    <n v="3279.28"/>
    <n v="326.93"/>
  </r>
  <r>
    <x v="147"/>
    <s v="03-03-2016"/>
    <x v="16"/>
    <x v="1"/>
    <x v="0"/>
    <n v="3279.88"/>
    <n v="416.74"/>
  </r>
  <r>
    <x v="148"/>
    <s v="29-03-2018"/>
    <x v="4"/>
    <x v="1"/>
    <x v="2"/>
    <n v="986.86"/>
    <n v="262.08"/>
  </r>
  <r>
    <x v="149"/>
    <s v="26-07-2017"/>
    <x v="32"/>
    <x v="3"/>
    <x v="0"/>
    <n v="4634.26"/>
    <n v="806.41"/>
  </r>
  <r>
    <x v="150"/>
    <s v="31-03-2018"/>
    <x v="4"/>
    <x v="3"/>
    <x v="0"/>
    <n v="707.11"/>
    <n v="63.41"/>
  </r>
  <r>
    <x v="151"/>
    <s v="23-10-2016"/>
    <x v="25"/>
    <x v="0"/>
    <x v="2"/>
    <n v="3384.75"/>
    <n v="686.89"/>
  </r>
  <r>
    <x v="152"/>
    <s v="24-10-2017"/>
    <x v="10"/>
    <x v="0"/>
    <x v="0"/>
    <n v="2787.54"/>
    <n v="225.18"/>
  </r>
  <r>
    <x v="153"/>
    <s v="12-04-2016"/>
    <x v="13"/>
    <x v="3"/>
    <x v="2"/>
    <n v="3357.47"/>
    <n v="419.11"/>
  </r>
  <r>
    <x v="154"/>
    <s v="27-06-2018"/>
    <x v="31"/>
    <x v="1"/>
    <x v="0"/>
    <n v="4419.7700000000004"/>
    <n v="295.79000000000002"/>
  </r>
  <r>
    <x v="155"/>
    <s v="11-04-2017"/>
    <x v="21"/>
    <x v="2"/>
    <x v="0"/>
    <n v="3690.27"/>
    <n v="321.02"/>
  </r>
  <r>
    <x v="156"/>
    <s v="12-04-2016"/>
    <x v="13"/>
    <x v="0"/>
    <x v="2"/>
    <n v="2275.9299999999998"/>
    <n v="276.24"/>
  </r>
  <r>
    <x v="157"/>
    <s v="30-03-2017"/>
    <x v="9"/>
    <x v="3"/>
    <x v="1"/>
    <n v="1845.23"/>
    <n v="326.76"/>
  </r>
  <r>
    <x v="158"/>
    <s v="02-02-2016"/>
    <x v="23"/>
    <x v="0"/>
    <x v="0"/>
    <n v="3180.65"/>
    <n v="873.61"/>
  </r>
  <r>
    <x v="159"/>
    <s v="10-02-2018"/>
    <x v="5"/>
    <x v="3"/>
    <x v="1"/>
    <n v="4329.03"/>
    <n v="442.91"/>
  </r>
  <r>
    <x v="160"/>
    <s v="09-12-2016"/>
    <x v="24"/>
    <x v="2"/>
    <x v="2"/>
    <n v="2502.34"/>
    <n v="271.91000000000003"/>
  </r>
  <r>
    <x v="161"/>
    <s v="24-06-2017"/>
    <x v="17"/>
    <x v="0"/>
    <x v="1"/>
    <n v="1016.14"/>
    <n v="126.72"/>
  </r>
  <r>
    <x v="162"/>
    <s v="21-09-2016"/>
    <x v="28"/>
    <x v="2"/>
    <x v="1"/>
    <n v="4147.67"/>
    <n v="670.61"/>
  </r>
  <r>
    <x v="163"/>
    <s v="14-06-2017"/>
    <x v="17"/>
    <x v="0"/>
    <x v="1"/>
    <n v="1241.9100000000001"/>
    <n v="249.74"/>
  </r>
  <r>
    <x v="164"/>
    <s v="20-08-2016"/>
    <x v="6"/>
    <x v="3"/>
    <x v="0"/>
    <n v="2478.7600000000002"/>
    <n v="442.06"/>
  </r>
  <r>
    <x v="165"/>
    <s v="09-05-2017"/>
    <x v="14"/>
    <x v="0"/>
    <x v="0"/>
    <n v="4066.88"/>
    <n v="1200.78"/>
  </r>
  <r>
    <x v="166"/>
    <s v="26-09-2018"/>
    <x v="20"/>
    <x v="0"/>
    <x v="2"/>
    <n v="2850.12"/>
    <n v="632.98"/>
  </r>
  <r>
    <x v="167"/>
    <s v="16-11-2016"/>
    <x v="27"/>
    <x v="3"/>
    <x v="2"/>
    <n v="3568.85"/>
    <n v="1002.43"/>
  </r>
  <r>
    <x v="168"/>
    <s v="13-04-2016"/>
    <x v="13"/>
    <x v="3"/>
    <x v="0"/>
    <n v="1471.08"/>
    <n v="397.9"/>
  </r>
  <r>
    <x v="169"/>
    <s v="18-05-2018"/>
    <x v="2"/>
    <x v="1"/>
    <x v="0"/>
    <n v="2263.77"/>
    <n v="335.9"/>
  </r>
  <r>
    <x v="170"/>
    <s v="07-03-2017"/>
    <x v="9"/>
    <x v="3"/>
    <x v="2"/>
    <n v="4535.2700000000004"/>
    <n v="1107.47"/>
  </r>
  <r>
    <x v="171"/>
    <s v="13-06-2017"/>
    <x v="17"/>
    <x v="3"/>
    <x v="2"/>
    <n v="4803.75"/>
    <n v="561.74"/>
  </r>
  <r>
    <x v="172"/>
    <s v="09-01-2017"/>
    <x v="19"/>
    <x v="1"/>
    <x v="1"/>
    <n v="737.21"/>
    <n v="165.19"/>
  </r>
  <r>
    <x v="173"/>
    <s v="28-03-2016"/>
    <x v="16"/>
    <x v="2"/>
    <x v="1"/>
    <n v="3713.28"/>
    <n v="709.44"/>
  </r>
  <r>
    <x v="174"/>
    <s v="29-03-2016"/>
    <x v="16"/>
    <x v="0"/>
    <x v="0"/>
    <n v="838.1"/>
    <n v="112.63"/>
  </r>
  <r>
    <x v="175"/>
    <s v="06-04-2017"/>
    <x v="21"/>
    <x v="2"/>
    <x v="2"/>
    <n v="230.06"/>
    <n v="16.09"/>
  </r>
  <r>
    <x v="176"/>
    <s v="29-07-2018"/>
    <x v="15"/>
    <x v="0"/>
    <x v="0"/>
    <n v="2585.34"/>
    <n v="427.52"/>
  </r>
  <r>
    <x v="177"/>
    <s v="13-02-2017"/>
    <x v="7"/>
    <x v="0"/>
    <x v="0"/>
    <n v="245.56"/>
    <n v="27.52"/>
  </r>
  <r>
    <x v="178"/>
    <s v="06-10-2017"/>
    <x v="10"/>
    <x v="1"/>
    <x v="1"/>
    <n v="100.97"/>
    <n v="6.24"/>
  </r>
  <r>
    <x v="179"/>
    <s v="18-07-2017"/>
    <x v="32"/>
    <x v="1"/>
    <x v="1"/>
    <n v="3204.41"/>
    <n v="935.78"/>
  </r>
  <r>
    <x v="180"/>
    <s v="02-11-2017"/>
    <x v="29"/>
    <x v="3"/>
    <x v="0"/>
    <n v="4707.32"/>
    <n v="520.29999999999995"/>
  </r>
  <r>
    <x v="181"/>
    <s v="02-11-2017"/>
    <x v="29"/>
    <x v="2"/>
    <x v="0"/>
    <n v="3493.28"/>
    <n v="270.64999999999998"/>
  </r>
  <r>
    <x v="182"/>
    <s v="06-05-2017"/>
    <x v="14"/>
    <x v="2"/>
    <x v="0"/>
    <n v="3122.59"/>
    <n v="765.71"/>
  </r>
  <r>
    <x v="183"/>
    <s v="24-12-2016"/>
    <x v="24"/>
    <x v="3"/>
    <x v="0"/>
    <n v="3792.52"/>
    <n v="270.13"/>
  </r>
  <r>
    <x v="184"/>
    <s v="24-02-2018"/>
    <x v="5"/>
    <x v="0"/>
    <x v="1"/>
    <n v="2383.7199999999998"/>
    <n v="563.59"/>
  </r>
  <r>
    <x v="185"/>
    <s v="27-12-2017"/>
    <x v="26"/>
    <x v="1"/>
    <x v="0"/>
    <n v="1073.54"/>
    <n v="282.26"/>
  </r>
  <r>
    <x v="186"/>
    <s v="23-04-2018"/>
    <x v="11"/>
    <x v="1"/>
    <x v="2"/>
    <n v="3325.18"/>
    <n v="969.57"/>
  </r>
  <r>
    <x v="187"/>
    <s v="06-12-2016"/>
    <x v="24"/>
    <x v="1"/>
    <x v="1"/>
    <n v="2074.36"/>
    <n v="447.07"/>
  </r>
  <r>
    <x v="188"/>
    <s v="18-11-2016"/>
    <x v="27"/>
    <x v="2"/>
    <x v="1"/>
    <n v="300.57"/>
    <n v="37.33"/>
  </r>
  <r>
    <x v="189"/>
    <s v="05-09-2018"/>
    <x v="20"/>
    <x v="3"/>
    <x v="1"/>
    <n v="3546.06"/>
    <n v="999.69"/>
  </r>
  <r>
    <x v="190"/>
    <s v="16-06-2017"/>
    <x v="17"/>
    <x v="2"/>
    <x v="0"/>
    <n v="761.44"/>
    <n v="203.81"/>
  </r>
  <r>
    <x v="191"/>
    <s v="29-10-2016"/>
    <x v="25"/>
    <x v="0"/>
    <x v="0"/>
    <n v="2494.42"/>
    <n v="425.59"/>
  </r>
  <r>
    <x v="192"/>
    <s v="15-01-2018"/>
    <x v="18"/>
    <x v="0"/>
    <x v="2"/>
    <n v="1483.61"/>
    <n v="80.8"/>
  </r>
  <r>
    <x v="193"/>
    <s v="28-01-2018"/>
    <x v="18"/>
    <x v="2"/>
    <x v="0"/>
    <n v="1350.11"/>
    <n v="98.1"/>
  </r>
  <r>
    <x v="194"/>
    <s v="10-06-2016"/>
    <x v="30"/>
    <x v="3"/>
    <x v="2"/>
    <n v="4176.18"/>
    <n v="513.77"/>
  </r>
  <r>
    <x v="195"/>
    <s v="20-06-2018"/>
    <x v="31"/>
    <x v="0"/>
    <x v="1"/>
    <n v="4135.92"/>
    <n v="959.51"/>
  </r>
  <r>
    <x v="196"/>
    <s v="05-03-2016"/>
    <x v="16"/>
    <x v="3"/>
    <x v="0"/>
    <n v="2651.15"/>
    <n v="679.72"/>
  </r>
  <r>
    <x v="197"/>
    <s v="09-07-2016"/>
    <x v="0"/>
    <x v="2"/>
    <x v="1"/>
    <n v="3428.04"/>
    <n v="242.41"/>
  </r>
  <r>
    <x v="198"/>
    <s v="26-03-2016"/>
    <x v="16"/>
    <x v="0"/>
    <x v="1"/>
    <n v="2961.27"/>
    <n v="794.66"/>
  </r>
  <r>
    <x v="199"/>
    <s v="14-08-2016"/>
    <x v="6"/>
    <x v="0"/>
    <x v="1"/>
    <n v="685.95"/>
    <n v="44.46"/>
  </r>
  <r>
    <x v="200"/>
    <s v="31-12-2017"/>
    <x v="26"/>
    <x v="2"/>
    <x v="2"/>
    <n v="4756.59"/>
    <n v="248.05"/>
  </r>
  <r>
    <x v="201"/>
    <s v="20-08-2018"/>
    <x v="8"/>
    <x v="1"/>
    <x v="1"/>
    <n v="3441.08"/>
    <n v="943.59"/>
  </r>
  <r>
    <x v="202"/>
    <s v="12-06-2016"/>
    <x v="30"/>
    <x v="1"/>
    <x v="1"/>
    <n v="1947.77"/>
    <n v="117.35"/>
  </r>
  <r>
    <x v="203"/>
    <s v="21-07-2017"/>
    <x v="32"/>
    <x v="3"/>
    <x v="0"/>
    <n v="2884.67"/>
    <n v="559.54"/>
  </r>
  <r>
    <x v="204"/>
    <s v="12-05-2018"/>
    <x v="2"/>
    <x v="0"/>
    <x v="1"/>
    <n v="4415.4799999999996"/>
    <n v="694.89"/>
  </r>
  <r>
    <x v="205"/>
    <s v="01-05-2017"/>
    <x v="14"/>
    <x v="1"/>
    <x v="2"/>
    <n v="2932.18"/>
    <n v="170.93"/>
  </r>
  <r>
    <x v="206"/>
    <s v="19-02-2018"/>
    <x v="5"/>
    <x v="1"/>
    <x v="1"/>
    <n v="2883.7"/>
    <n v="659.65"/>
  </r>
  <r>
    <x v="207"/>
    <s v="22-02-2017"/>
    <x v="7"/>
    <x v="0"/>
    <x v="0"/>
    <n v="4941.8500000000004"/>
    <n v="1218.44"/>
  </r>
  <r>
    <x v="208"/>
    <s v="18-12-2017"/>
    <x v="26"/>
    <x v="2"/>
    <x v="1"/>
    <n v="1580.07"/>
    <n v="226.82"/>
  </r>
  <r>
    <x v="209"/>
    <s v="12-06-2017"/>
    <x v="17"/>
    <x v="0"/>
    <x v="0"/>
    <n v="4656.55"/>
    <n v="816.33"/>
  </r>
  <r>
    <x v="210"/>
    <s v="25-06-2016"/>
    <x v="30"/>
    <x v="0"/>
    <x v="1"/>
    <n v="323.62"/>
    <n v="35.840000000000003"/>
  </r>
  <r>
    <x v="211"/>
    <s v="30-05-2018"/>
    <x v="2"/>
    <x v="1"/>
    <x v="0"/>
    <n v="3807.41"/>
    <n v="1022.36"/>
  </r>
  <r>
    <x v="212"/>
    <s v="03-05-2018"/>
    <x v="2"/>
    <x v="1"/>
    <x v="2"/>
    <n v="793.21"/>
    <n v="122.22"/>
  </r>
  <r>
    <x v="213"/>
    <s v="22-12-2016"/>
    <x v="24"/>
    <x v="2"/>
    <x v="2"/>
    <n v="543.05999999999995"/>
    <n v="53.26"/>
  </r>
  <r>
    <x v="214"/>
    <s v="15-07-2018"/>
    <x v="15"/>
    <x v="3"/>
    <x v="2"/>
    <n v="1806.22"/>
    <n v="436.82"/>
  </r>
  <r>
    <x v="215"/>
    <s v="13-03-2017"/>
    <x v="9"/>
    <x v="0"/>
    <x v="1"/>
    <n v="401.65"/>
    <n v="45.98"/>
  </r>
  <r>
    <x v="216"/>
    <s v="22-01-2016"/>
    <x v="12"/>
    <x v="0"/>
    <x v="2"/>
    <n v="1515.03"/>
    <n v="269.32"/>
  </r>
  <r>
    <x v="217"/>
    <s v="05-08-2016"/>
    <x v="6"/>
    <x v="0"/>
    <x v="1"/>
    <n v="1713.86"/>
    <n v="511.02"/>
  </r>
  <r>
    <x v="218"/>
    <s v="02-02-2016"/>
    <x v="23"/>
    <x v="3"/>
    <x v="2"/>
    <n v="2043.09"/>
    <n v="409.21"/>
  </r>
  <r>
    <x v="219"/>
    <s v="19-09-2017"/>
    <x v="1"/>
    <x v="3"/>
    <x v="2"/>
    <n v="4372.42"/>
    <n v="1029.43"/>
  </r>
  <r>
    <x v="220"/>
    <s v="18-02-2016"/>
    <x v="23"/>
    <x v="1"/>
    <x v="1"/>
    <n v="3511.47"/>
    <n v="902.49"/>
  </r>
  <r>
    <x v="221"/>
    <s v="14-04-2018"/>
    <x v="11"/>
    <x v="0"/>
    <x v="0"/>
    <n v="347.32"/>
    <n v="75.98"/>
  </r>
  <r>
    <x v="222"/>
    <s v="26-05-2018"/>
    <x v="2"/>
    <x v="1"/>
    <x v="0"/>
    <n v="1296.93"/>
    <n v="145.27000000000001"/>
  </r>
  <r>
    <x v="223"/>
    <s v="03-11-2016"/>
    <x v="27"/>
    <x v="1"/>
    <x v="1"/>
    <n v="299.36"/>
    <n v="20.51"/>
  </r>
  <r>
    <x v="224"/>
    <s v="06-03-2018"/>
    <x v="4"/>
    <x v="1"/>
    <x v="2"/>
    <n v="2384.0500000000002"/>
    <n v="263.02999999999997"/>
  </r>
  <r>
    <x v="225"/>
    <s v="01-02-2017"/>
    <x v="7"/>
    <x v="0"/>
    <x v="2"/>
    <n v="3706.19"/>
    <n v="363.95"/>
  </r>
  <r>
    <x v="226"/>
    <s v="26-06-2017"/>
    <x v="17"/>
    <x v="2"/>
    <x v="2"/>
    <n v="1135.6500000000001"/>
    <n v="263.38"/>
  </r>
  <r>
    <x v="227"/>
    <s v="01-03-2018"/>
    <x v="4"/>
    <x v="3"/>
    <x v="2"/>
    <n v="4404.1099999999997"/>
    <n v="322.55"/>
  </r>
  <r>
    <x v="228"/>
    <s v="13-05-2016"/>
    <x v="22"/>
    <x v="1"/>
    <x v="2"/>
    <n v="4510.6099999999997"/>
    <n v="1313.18"/>
  </r>
  <r>
    <x v="229"/>
    <s v="12-11-2016"/>
    <x v="27"/>
    <x v="3"/>
    <x v="0"/>
    <n v="3850.41"/>
    <n v="399.68"/>
  </r>
  <r>
    <x v="230"/>
    <s v="13-02-2016"/>
    <x v="23"/>
    <x v="0"/>
    <x v="1"/>
    <n v="3793.59"/>
    <n v="208.62"/>
  </r>
  <r>
    <x v="231"/>
    <s v="06-06-2017"/>
    <x v="17"/>
    <x v="2"/>
    <x v="2"/>
    <n v="3571.15"/>
    <n v="493.04"/>
  </r>
  <r>
    <x v="232"/>
    <s v="05-03-2018"/>
    <x v="4"/>
    <x v="0"/>
    <x v="1"/>
    <n v="4457.78"/>
    <n v="971.17"/>
  </r>
  <r>
    <x v="233"/>
    <s v="16-02-2016"/>
    <x v="23"/>
    <x v="2"/>
    <x v="0"/>
    <n v="2949.59"/>
    <n v="681.5"/>
  </r>
  <r>
    <x v="234"/>
    <s v="09-06-2016"/>
    <x v="30"/>
    <x v="1"/>
    <x v="1"/>
    <n v="2836.91"/>
    <n v="368.82"/>
  </r>
  <r>
    <x v="235"/>
    <s v="10-09-2017"/>
    <x v="1"/>
    <x v="0"/>
    <x v="2"/>
    <n v="2527.4699999999998"/>
    <n v="604.5"/>
  </r>
  <r>
    <x v="236"/>
    <s v="20-06-2018"/>
    <x v="31"/>
    <x v="3"/>
    <x v="0"/>
    <n v="2436.63"/>
    <n v="182.55"/>
  </r>
  <r>
    <x v="237"/>
    <s v="30-05-2018"/>
    <x v="2"/>
    <x v="1"/>
    <x v="2"/>
    <n v="4888.32"/>
    <n v="912.56"/>
  </r>
  <r>
    <x v="238"/>
    <s v="19-09-2018"/>
    <x v="20"/>
    <x v="3"/>
    <x v="1"/>
    <n v="4370.2299999999996"/>
    <n v="228.83"/>
  </r>
  <r>
    <x v="239"/>
    <s v="16-09-2016"/>
    <x v="28"/>
    <x v="0"/>
    <x v="1"/>
    <n v="1907.97"/>
    <n v="100.49"/>
  </r>
  <r>
    <x v="240"/>
    <s v="03-05-2017"/>
    <x v="14"/>
    <x v="2"/>
    <x v="2"/>
    <n v="3763.64"/>
    <n v="1022.67"/>
  </r>
  <r>
    <x v="241"/>
    <s v="28-03-2018"/>
    <x v="4"/>
    <x v="3"/>
    <x v="2"/>
    <n v="2721.73"/>
    <n v="645.59"/>
  </r>
  <r>
    <x v="242"/>
    <s v="25-04-2018"/>
    <x v="11"/>
    <x v="2"/>
    <x v="1"/>
    <n v="3617.86"/>
    <n v="523.4"/>
  </r>
  <r>
    <x v="243"/>
    <s v="09-12-2016"/>
    <x v="24"/>
    <x v="3"/>
    <x v="1"/>
    <n v="3324.99"/>
    <n v="652.16"/>
  </r>
  <r>
    <x v="244"/>
    <s v="29-09-2017"/>
    <x v="1"/>
    <x v="3"/>
    <x v="0"/>
    <n v="2116.58"/>
    <n v="406.84"/>
  </r>
  <r>
    <x v="245"/>
    <s v="16-06-2017"/>
    <x v="17"/>
    <x v="3"/>
    <x v="2"/>
    <n v="295.79000000000002"/>
    <n v="34.630000000000003"/>
  </r>
  <r>
    <x v="246"/>
    <s v="04-12-2017"/>
    <x v="26"/>
    <x v="2"/>
    <x v="2"/>
    <n v="3242.54"/>
    <n v="945.73"/>
  </r>
  <r>
    <x v="247"/>
    <s v="06-05-2018"/>
    <x v="2"/>
    <x v="1"/>
    <x v="1"/>
    <n v="2132.2600000000002"/>
    <n v="142.32"/>
  </r>
  <r>
    <x v="248"/>
    <s v="20-05-2016"/>
    <x v="22"/>
    <x v="3"/>
    <x v="2"/>
    <n v="4400.1099999999997"/>
    <n v="906.85"/>
  </r>
  <r>
    <x v="249"/>
    <s v="03-02-2017"/>
    <x v="7"/>
    <x v="2"/>
    <x v="1"/>
    <n v="669.71"/>
    <n v="68.72"/>
  </r>
  <r>
    <x v="250"/>
    <s v="12-10-2016"/>
    <x v="25"/>
    <x v="2"/>
    <x v="0"/>
    <n v="4854.3599999999997"/>
    <n v="1393.77"/>
  </r>
  <r>
    <x v="251"/>
    <s v="04-06-2016"/>
    <x v="30"/>
    <x v="1"/>
    <x v="1"/>
    <n v="4715.42"/>
    <n v="983.48"/>
  </r>
  <r>
    <x v="252"/>
    <s v="13-05-2017"/>
    <x v="14"/>
    <x v="0"/>
    <x v="2"/>
    <n v="930.06"/>
    <n v="59.03"/>
  </r>
  <r>
    <x v="253"/>
    <s v="22-02-2016"/>
    <x v="23"/>
    <x v="2"/>
    <x v="2"/>
    <n v="528.26"/>
    <n v="91.29"/>
  </r>
  <r>
    <x v="254"/>
    <s v="22-06-2016"/>
    <x v="30"/>
    <x v="0"/>
    <x v="0"/>
    <n v="3286.26"/>
    <n v="377.42"/>
  </r>
  <r>
    <x v="255"/>
    <s v="02-12-2016"/>
    <x v="24"/>
    <x v="1"/>
    <x v="2"/>
    <n v="326.77999999999997"/>
    <n v="43.78"/>
  </r>
  <r>
    <x v="256"/>
    <s v="24-03-2017"/>
    <x v="9"/>
    <x v="0"/>
    <x v="1"/>
    <n v="280.13"/>
    <n v="39.979999999999997"/>
  </r>
  <r>
    <x v="257"/>
    <s v="21-07-2016"/>
    <x v="0"/>
    <x v="2"/>
    <x v="2"/>
    <n v="3748.26"/>
    <n v="620.91"/>
  </r>
  <r>
    <x v="258"/>
    <s v="10-08-2017"/>
    <x v="3"/>
    <x v="3"/>
    <x v="2"/>
    <n v="2350.4899999999998"/>
    <n v="180.29"/>
  </r>
  <r>
    <x v="259"/>
    <s v="02-01-2018"/>
    <x v="18"/>
    <x v="0"/>
    <x v="1"/>
    <n v="648.76"/>
    <n v="112.39"/>
  </r>
  <r>
    <x v="260"/>
    <s v="20-12-2017"/>
    <x v="26"/>
    <x v="1"/>
    <x v="1"/>
    <n v="2223.56"/>
    <n v="362.15"/>
  </r>
  <r>
    <x v="261"/>
    <s v="10-05-2016"/>
    <x v="22"/>
    <x v="3"/>
    <x v="2"/>
    <n v="1357.21"/>
    <n v="73.37"/>
  </r>
  <r>
    <x v="262"/>
    <s v="24-01-2017"/>
    <x v="19"/>
    <x v="0"/>
    <x v="2"/>
    <n v="2920.68"/>
    <n v="674.42"/>
  </r>
  <r>
    <x v="263"/>
    <s v="11-07-2017"/>
    <x v="32"/>
    <x v="1"/>
    <x v="1"/>
    <n v="3781.36"/>
    <n v="558.24"/>
  </r>
  <r>
    <x v="264"/>
    <s v="18-06-2016"/>
    <x v="30"/>
    <x v="0"/>
    <x v="0"/>
    <n v="1956.61"/>
    <n v="431.9"/>
  </r>
  <r>
    <x v="265"/>
    <s v="18-10-2017"/>
    <x v="10"/>
    <x v="2"/>
    <x v="0"/>
    <n v="2926.67"/>
    <n v="595.91999999999996"/>
  </r>
  <r>
    <x v="266"/>
    <s v="27-02-2016"/>
    <x v="23"/>
    <x v="2"/>
    <x v="1"/>
    <n v="922.42"/>
    <n v="188.55"/>
  </r>
  <r>
    <x v="267"/>
    <s v="20-08-2017"/>
    <x v="3"/>
    <x v="1"/>
    <x v="1"/>
    <n v="2258.4499999999998"/>
    <n v="252.03"/>
  </r>
  <r>
    <x v="268"/>
    <s v="25-11-2016"/>
    <x v="27"/>
    <x v="1"/>
    <x v="1"/>
    <n v="392.28"/>
    <n v="20.11"/>
  </r>
  <r>
    <x v="269"/>
    <s v="20-05-2017"/>
    <x v="14"/>
    <x v="3"/>
    <x v="0"/>
    <n v="1959.4"/>
    <n v="505.88"/>
  </r>
  <r>
    <x v="270"/>
    <s v="26-11-2017"/>
    <x v="29"/>
    <x v="0"/>
    <x v="1"/>
    <n v="1120.04"/>
    <n v="216.42"/>
  </r>
  <r>
    <x v="271"/>
    <s v="22-12-2017"/>
    <x v="26"/>
    <x v="3"/>
    <x v="1"/>
    <n v="788.4"/>
    <n v="100.46"/>
  </r>
  <r>
    <x v="272"/>
    <s v="15-10-2016"/>
    <x v="25"/>
    <x v="2"/>
    <x v="1"/>
    <n v="2252.1799999999998"/>
    <n v="488.01"/>
  </r>
  <r>
    <x v="273"/>
    <s v="06-09-2017"/>
    <x v="1"/>
    <x v="1"/>
    <x v="1"/>
    <n v="440.18"/>
    <n v="53.34"/>
  </r>
  <r>
    <x v="274"/>
    <s v="30-08-2017"/>
    <x v="3"/>
    <x v="0"/>
    <x v="1"/>
    <n v="2227.61"/>
    <n v="664.5"/>
  </r>
  <r>
    <x v="275"/>
    <s v="29-06-2016"/>
    <x v="30"/>
    <x v="3"/>
    <x v="1"/>
    <n v="869.6"/>
    <n v="211.96"/>
  </r>
  <r>
    <x v="276"/>
    <s v="23-05-2016"/>
    <x v="22"/>
    <x v="0"/>
    <x v="2"/>
    <n v="740.15"/>
    <n v="68.3"/>
  </r>
  <r>
    <x v="277"/>
    <s v="13-05-2017"/>
    <x v="14"/>
    <x v="2"/>
    <x v="0"/>
    <n v="784.65"/>
    <n v="78.16"/>
  </r>
  <r>
    <x v="278"/>
    <s v="21-01-2016"/>
    <x v="12"/>
    <x v="1"/>
    <x v="1"/>
    <n v="1106.9100000000001"/>
    <n v="141.34"/>
  </r>
  <r>
    <x v="279"/>
    <s v="29-01-2016"/>
    <x v="12"/>
    <x v="2"/>
    <x v="0"/>
    <n v="4030.75"/>
    <n v="1064.19"/>
  </r>
  <r>
    <x v="280"/>
    <s v="22-01-2016"/>
    <x v="12"/>
    <x v="1"/>
    <x v="2"/>
    <n v="2867"/>
    <n v="323.04000000000002"/>
  </r>
  <r>
    <x v="281"/>
    <s v="25-09-2016"/>
    <x v="28"/>
    <x v="1"/>
    <x v="2"/>
    <n v="2429.81"/>
    <n v="487.67"/>
  </r>
  <r>
    <x v="282"/>
    <s v="17-05-2018"/>
    <x v="2"/>
    <x v="1"/>
    <x v="0"/>
    <n v="946.56"/>
    <n v="265.17"/>
  </r>
  <r>
    <x v="283"/>
    <s v="30-07-2017"/>
    <x v="32"/>
    <x v="1"/>
    <x v="0"/>
    <n v="2860.88"/>
    <n v="553.72"/>
  </r>
  <r>
    <x v="284"/>
    <s v="03-07-2016"/>
    <x v="0"/>
    <x v="1"/>
    <x v="2"/>
    <n v="3802.49"/>
    <n v="1023.34"/>
  </r>
  <r>
    <x v="285"/>
    <s v="01-08-2016"/>
    <x v="6"/>
    <x v="3"/>
    <x v="2"/>
    <n v="3311.94"/>
    <n v="274.42"/>
  </r>
  <r>
    <x v="286"/>
    <s v="19-01-2016"/>
    <x v="12"/>
    <x v="1"/>
    <x v="1"/>
    <n v="3850"/>
    <n v="220.8"/>
  </r>
  <r>
    <x v="287"/>
    <s v="09-06-2018"/>
    <x v="31"/>
    <x v="3"/>
    <x v="0"/>
    <n v="2514.9899999999998"/>
    <n v="678.74"/>
  </r>
  <r>
    <x v="288"/>
    <s v="15-09-2018"/>
    <x v="20"/>
    <x v="1"/>
    <x v="1"/>
    <n v="2313.6"/>
    <n v="226.69"/>
  </r>
  <r>
    <x v="289"/>
    <s v="05-08-2016"/>
    <x v="6"/>
    <x v="0"/>
    <x v="2"/>
    <n v="4016.08"/>
    <n v="673.68"/>
  </r>
  <r>
    <x v="290"/>
    <s v="08-09-2017"/>
    <x v="1"/>
    <x v="1"/>
    <x v="0"/>
    <n v="3002.1"/>
    <n v="573.41999999999996"/>
  </r>
  <r>
    <x v="291"/>
    <s v="08-04-2017"/>
    <x v="21"/>
    <x v="3"/>
    <x v="1"/>
    <n v="4262.3599999999997"/>
    <n v="436.78"/>
  </r>
  <r>
    <x v="292"/>
    <s v="10-12-2016"/>
    <x v="24"/>
    <x v="2"/>
    <x v="0"/>
    <n v="846.78"/>
    <n v="196.82"/>
  </r>
  <r>
    <x v="293"/>
    <s v="25-05-2016"/>
    <x v="22"/>
    <x v="0"/>
    <x v="0"/>
    <n v="2919.6"/>
    <n v="487.38"/>
  </r>
  <r>
    <x v="294"/>
    <s v="08-05-2017"/>
    <x v="14"/>
    <x v="2"/>
    <x v="2"/>
    <n v="4069.19"/>
    <n v="465.6"/>
  </r>
  <r>
    <x v="295"/>
    <s v="12-08-2018"/>
    <x v="8"/>
    <x v="3"/>
    <x v="1"/>
    <n v="2041.35"/>
    <n v="530.9"/>
  </r>
  <r>
    <x v="296"/>
    <s v="08-01-2017"/>
    <x v="19"/>
    <x v="0"/>
    <x v="0"/>
    <n v="3477"/>
    <n v="268.39999999999998"/>
  </r>
  <r>
    <x v="297"/>
    <s v="08-02-2018"/>
    <x v="5"/>
    <x v="0"/>
    <x v="2"/>
    <n v="4962.43"/>
    <n v="1128"/>
  </r>
  <r>
    <x v="298"/>
    <s v="18-04-2017"/>
    <x v="21"/>
    <x v="2"/>
    <x v="0"/>
    <n v="1331.58"/>
    <n v="244.24"/>
  </r>
  <r>
    <x v="299"/>
    <s v="09-12-2016"/>
    <x v="24"/>
    <x v="3"/>
    <x v="0"/>
    <n v="3232.07"/>
    <n v="656.82"/>
  </r>
  <r>
    <x v="300"/>
    <s v="19-11-2016"/>
    <x v="27"/>
    <x v="0"/>
    <x v="1"/>
    <n v="3923.22"/>
    <n v="915.02"/>
  </r>
  <r>
    <x v="301"/>
    <s v="09-02-2017"/>
    <x v="7"/>
    <x v="1"/>
    <x v="2"/>
    <n v="984.78"/>
    <n v="117.8"/>
  </r>
  <r>
    <x v="302"/>
    <s v="14-02-2016"/>
    <x v="23"/>
    <x v="0"/>
    <x v="2"/>
    <n v="283.08"/>
    <n v="47.9"/>
  </r>
  <r>
    <x v="303"/>
    <s v="05-07-2016"/>
    <x v="0"/>
    <x v="0"/>
    <x v="0"/>
    <n v="4465.34"/>
    <n v="701.33"/>
  </r>
  <r>
    <x v="304"/>
    <s v="18-04-2016"/>
    <x v="13"/>
    <x v="3"/>
    <x v="0"/>
    <n v="4399.1499999999996"/>
    <n v="741.49"/>
  </r>
  <r>
    <x v="305"/>
    <s v="17-07-2016"/>
    <x v="0"/>
    <x v="0"/>
    <x v="2"/>
    <n v="4576.54"/>
    <n v="1068.8499999999999"/>
  </r>
  <r>
    <x v="306"/>
    <s v="06-02-2017"/>
    <x v="7"/>
    <x v="2"/>
    <x v="1"/>
    <n v="1998.59"/>
    <n v="510.3"/>
  </r>
  <r>
    <x v="307"/>
    <s v="07-08-2018"/>
    <x v="8"/>
    <x v="0"/>
    <x v="2"/>
    <n v="4019.97"/>
    <n v="787.6"/>
  </r>
  <r>
    <x v="308"/>
    <s v="11-01-2018"/>
    <x v="18"/>
    <x v="0"/>
    <x v="0"/>
    <n v="1055.1600000000001"/>
    <n v="146.79"/>
  </r>
  <r>
    <x v="309"/>
    <s v="19-02-2017"/>
    <x v="7"/>
    <x v="0"/>
    <x v="1"/>
    <n v="3549.15"/>
    <n v="594.25"/>
  </r>
  <r>
    <x v="310"/>
    <s v="20-02-2017"/>
    <x v="7"/>
    <x v="3"/>
    <x v="0"/>
    <n v="4245.9399999999996"/>
    <n v="1169.04"/>
  </r>
  <r>
    <x v="311"/>
    <s v="16-05-2018"/>
    <x v="2"/>
    <x v="2"/>
    <x v="0"/>
    <n v="4809.97"/>
    <n v="1170.44"/>
  </r>
  <r>
    <x v="312"/>
    <s v="25-11-2017"/>
    <x v="29"/>
    <x v="3"/>
    <x v="0"/>
    <n v="1804.93"/>
    <n v="142.18"/>
  </r>
  <r>
    <x v="313"/>
    <s v="25-07-2016"/>
    <x v="0"/>
    <x v="1"/>
    <x v="1"/>
    <n v="4005.26"/>
    <n v="1048.74"/>
  </r>
  <r>
    <x v="314"/>
    <s v="07-06-2017"/>
    <x v="17"/>
    <x v="2"/>
    <x v="1"/>
    <n v="4266.04"/>
    <n v="528.70000000000005"/>
  </r>
  <r>
    <x v="315"/>
    <s v="20-10-2017"/>
    <x v="10"/>
    <x v="0"/>
    <x v="0"/>
    <n v="4351.29"/>
    <n v="816.38"/>
  </r>
  <r>
    <x v="316"/>
    <s v="04-10-2016"/>
    <x v="25"/>
    <x v="1"/>
    <x v="1"/>
    <n v="3907.59"/>
    <n v="438.27"/>
  </r>
  <r>
    <x v="317"/>
    <s v="04-04-2018"/>
    <x v="11"/>
    <x v="1"/>
    <x v="0"/>
    <n v="789.77"/>
    <n v="165.84"/>
  </r>
  <r>
    <x v="318"/>
    <s v="20-11-2017"/>
    <x v="29"/>
    <x v="3"/>
    <x v="1"/>
    <n v="2070.2199999999998"/>
    <n v="343.13"/>
  </r>
  <r>
    <x v="319"/>
    <s v="02-03-2017"/>
    <x v="9"/>
    <x v="1"/>
    <x v="0"/>
    <n v="1028.48"/>
    <n v="202.1"/>
  </r>
  <r>
    <x v="320"/>
    <s v="10-04-2018"/>
    <x v="11"/>
    <x v="3"/>
    <x v="2"/>
    <n v="4237.68"/>
    <n v="542.92999999999995"/>
  </r>
  <r>
    <x v="321"/>
    <s v="05-03-2017"/>
    <x v="9"/>
    <x v="3"/>
    <x v="1"/>
    <n v="3949.94"/>
    <n v="1149.3499999999999"/>
  </r>
  <r>
    <x v="322"/>
    <s v="06-08-2016"/>
    <x v="6"/>
    <x v="3"/>
    <x v="1"/>
    <n v="875.72"/>
    <n v="247.17"/>
  </r>
  <r>
    <x v="323"/>
    <s v="21-07-2018"/>
    <x v="15"/>
    <x v="2"/>
    <x v="2"/>
    <n v="930.06"/>
    <n v="132.49"/>
  </r>
  <r>
    <x v="324"/>
    <s v="30-10-2017"/>
    <x v="10"/>
    <x v="1"/>
    <x v="1"/>
    <n v="4188.54"/>
    <n v="657.89"/>
  </r>
  <r>
    <x v="325"/>
    <s v="16-02-2017"/>
    <x v="7"/>
    <x v="2"/>
    <x v="0"/>
    <n v="1410.07"/>
    <n v="283.14"/>
  </r>
  <r>
    <x v="326"/>
    <s v="12-05-2017"/>
    <x v="14"/>
    <x v="1"/>
    <x v="1"/>
    <n v="4033.15"/>
    <n v="320"/>
  </r>
  <r>
    <x v="327"/>
    <s v="27-02-2017"/>
    <x v="7"/>
    <x v="0"/>
    <x v="1"/>
    <n v="374.54"/>
    <n v="29.15"/>
  </r>
  <r>
    <x v="328"/>
    <s v="07-09-2017"/>
    <x v="1"/>
    <x v="1"/>
    <x v="1"/>
    <n v="4609.95"/>
    <n v="485.42"/>
  </r>
  <r>
    <x v="329"/>
    <s v="17-04-2017"/>
    <x v="21"/>
    <x v="0"/>
    <x v="0"/>
    <n v="4453.1499999999996"/>
    <n v="1257.8800000000001"/>
  </r>
  <r>
    <x v="330"/>
    <s v="24-08-2017"/>
    <x v="3"/>
    <x v="2"/>
    <x v="2"/>
    <n v="2270.1999999999998"/>
    <n v="465.53"/>
  </r>
  <r>
    <x v="331"/>
    <s v="03-05-2018"/>
    <x v="2"/>
    <x v="3"/>
    <x v="1"/>
    <n v="3189.27"/>
    <n v="617.33000000000004"/>
  </r>
  <r>
    <x v="332"/>
    <s v="28-05-2017"/>
    <x v="14"/>
    <x v="1"/>
    <x v="1"/>
    <n v="4047.86"/>
    <n v="624.94000000000005"/>
  </r>
  <r>
    <x v="333"/>
    <s v="16-11-2017"/>
    <x v="29"/>
    <x v="3"/>
    <x v="2"/>
    <n v="2414.81"/>
    <n v="661.35"/>
  </r>
  <r>
    <x v="334"/>
    <s v="28-01-2016"/>
    <x v="12"/>
    <x v="1"/>
    <x v="1"/>
    <n v="2088.06"/>
    <n v="376.66"/>
  </r>
  <r>
    <x v="335"/>
    <s v="30-05-2017"/>
    <x v="14"/>
    <x v="0"/>
    <x v="0"/>
    <n v="192.32"/>
    <n v="47.62"/>
  </r>
  <r>
    <x v="336"/>
    <s v="15-07-2017"/>
    <x v="32"/>
    <x v="0"/>
    <x v="2"/>
    <n v="1938.55"/>
    <n v="525.41"/>
  </r>
  <r>
    <x v="337"/>
    <s v="06-04-2018"/>
    <x v="11"/>
    <x v="1"/>
    <x v="2"/>
    <n v="718.35"/>
    <n v="183.04"/>
  </r>
  <r>
    <x v="338"/>
    <s v="22-06-2016"/>
    <x v="30"/>
    <x v="1"/>
    <x v="0"/>
    <n v="3108.6"/>
    <n v="715.35"/>
  </r>
  <r>
    <x v="339"/>
    <s v="13-07-2018"/>
    <x v="15"/>
    <x v="3"/>
    <x v="1"/>
    <n v="207.48"/>
    <n v="34.090000000000003"/>
  </r>
  <r>
    <x v="340"/>
    <s v="01-06-2016"/>
    <x v="30"/>
    <x v="3"/>
    <x v="0"/>
    <n v="4444.58"/>
    <n v="455.98"/>
  </r>
  <r>
    <x v="341"/>
    <s v="19-02-2017"/>
    <x v="7"/>
    <x v="1"/>
    <x v="2"/>
    <n v="590.59"/>
    <n v="147.86000000000001"/>
  </r>
  <r>
    <x v="342"/>
    <s v="22-03-2018"/>
    <x v="4"/>
    <x v="1"/>
    <x v="0"/>
    <n v="1055.31"/>
    <n v="260.44"/>
  </r>
  <r>
    <x v="343"/>
    <s v="25-05-2018"/>
    <x v="2"/>
    <x v="3"/>
    <x v="2"/>
    <n v="2476.56"/>
    <n v="495.44"/>
  </r>
  <r>
    <x v="344"/>
    <s v="16-07-2018"/>
    <x v="15"/>
    <x v="0"/>
    <x v="0"/>
    <n v="1630.72"/>
    <n v="271.98"/>
  </r>
  <r>
    <x v="345"/>
    <s v="25-10-2017"/>
    <x v="10"/>
    <x v="1"/>
    <x v="1"/>
    <n v="4433.93"/>
    <n v="746.59"/>
  </r>
  <r>
    <x v="346"/>
    <s v="22-05-2016"/>
    <x v="22"/>
    <x v="2"/>
    <x v="1"/>
    <n v="657.97"/>
    <n v="43.37"/>
  </r>
  <r>
    <x v="347"/>
    <s v="26-08-2016"/>
    <x v="6"/>
    <x v="1"/>
    <x v="2"/>
    <n v="969.56"/>
    <n v="71.39"/>
  </r>
  <r>
    <x v="348"/>
    <s v="19-04-2016"/>
    <x v="13"/>
    <x v="2"/>
    <x v="2"/>
    <n v="521.16"/>
    <n v="88.5"/>
  </r>
  <r>
    <x v="349"/>
    <s v="06-01-2016"/>
    <x v="12"/>
    <x v="0"/>
    <x v="1"/>
    <n v="692.87"/>
    <n v="167.95"/>
  </r>
  <r>
    <x v="350"/>
    <s v="09-08-2017"/>
    <x v="3"/>
    <x v="0"/>
    <x v="1"/>
    <n v="3981.52"/>
    <n v="1065.0899999999999"/>
  </r>
  <r>
    <x v="351"/>
    <s v="15-02-2017"/>
    <x v="7"/>
    <x v="0"/>
    <x v="1"/>
    <n v="1005.41"/>
    <n v="101.63"/>
  </r>
  <r>
    <x v="352"/>
    <s v="14-03-2016"/>
    <x v="16"/>
    <x v="0"/>
    <x v="2"/>
    <n v="4858.2"/>
    <n v="373.58"/>
  </r>
  <r>
    <x v="353"/>
    <s v="10-02-2016"/>
    <x v="23"/>
    <x v="2"/>
    <x v="2"/>
    <n v="453.35"/>
    <n v="123.96"/>
  </r>
  <r>
    <x v="354"/>
    <s v="06-06-2017"/>
    <x v="17"/>
    <x v="0"/>
    <x v="1"/>
    <n v="2147.29"/>
    <n v="406.79"/>
  </r>
  <r>
    <x v="355"/>
    <s v="01-07-2016"/>
    <x v="0"/>
    <x v="2"/>
    <x v="2"/>
    <n v="370.82"/>
    <n v="45.68"/>
  </r>
  <r>
    <x v="356"/>
    <s v="26-02-2018"/>
    <x v="5"/>
    <x v="1"/>
    <x v="2"/>
    <n v="2615.85"/>
    <n v="458.69"/>
  </r>
  <r>
    <x v="357"/>
    <s v="24-06-2018"/>
    <x v="31"/>
    <x v="3"/>
    <x v="0"/>
    <n v="4188.1099999999997"/>
    <n v="834.43"/>
  </r>
  <r>
    <x v="358"/>
    <s v="24-11-2016"/>
    <x v="27"/>
    <x v="1"/>
    <x v="2"/>
    <n v="382.24"/>
    <n v="36.4"/>
  </r>
  <r>
    <x v="359"/>
    <s v="07-06-2017"/>
    <x v="17"/>
    <x v="3"/>
    <x v="1"/>
    <n v="3710.08"/>
    <n v="558.07000000000005"/>
  </r>
  <r>
    <x v="360"/>
    <s v="03-05-2016"/>
    <x v="22"/>
    <x v="1"/>
    <x v="2"/>
    <n v="2316.2800000000002"/>
    <n v="249.47"/>
  </r>
  <r>
    <x v="361"/>
    <s v="15-09-2016"/>
    <x v="28"/>
    <x v="1"/>
    <x v="0"/>
    <n v="1852.35"/>
    <n v="257.37"/>
  </r>
  <r>
    <x v="362"/>
    <s v="22-08-2018"/>
    <x v="8"/>
    <x v="3"/>
    <x v="0"/>
    <n v="4443.16"/>
    <n v="1253.45"/>
  </r>
  <r>
    <x v="363"/>
    <s v="21-11-2016"/>
    <x v="27"/>
    <x v="2"/>
    <x v="1"/>
    <n v="4562.37"/>
    <n v="600.62"/>
  </r>
  <r>
    <x v="364"/>
    <s v="21-03-2017"/>
    <x v="9"/>
    <x v="0"/>
    <x v="2"/>
    <n v="2134.9499999999998"/>
    <n v="254.16"/>
  </r>
  <r>
    <x v="365"/>
    <s v="08-03-2017"/>
    <x v="9"/>
    <x v="3"/>
    <x v="0"/>
    <n v="1004.69"/>
    <n v="300.62"/>
  </r>
  <r>
    <x v="366"/>
    <s v="05-04-2016"/>
    <x v="13"/>
    <x v="1"/>
    <x v="0"/>
    <n v="2512.42"/>
    <n v="585.69000000000005"/>
  </r>
  <r>
    <x v="367"/>
    <s v="24-09-2018"/>
    <x v="20"/>
    <x v="3"/>
    <x v="2"/>
    <n v="1109.43"/>
    <n v="90.71"/>
  </r>
  <r>
    <x v="368"/>
    <s v="13-11-2016"/>
    <x v="27"/>
    <x v="2"/>
    <x v="0"/>
    <n v="3296.13"/>
    <n v="402.08"/>
  </r>
  <r>
    <x v="369"/>
    <s v="16-03-2017"/>
    <x v="9"/>
    <x v="1"/>
    <x v="1"/>
    <n v="4594.07"/>
    <n v="244.75"/>
  </r>
  <r>
    <x v="370"/>
    <s v="01-02-2016"/>
    <x v="23"/>
    <x v="3"/>
    <x v="1"/>
    <n v="2362.3000000000002"/>
    <n v="280.37"/>
  </r>
  <r>
    <x v="371"/>
    <s v="17-10-2017"/>
    <x v="10"/>
    <x v="2"/>
    <x v="1"/>
    <n v="2488.3000000000002"/>
    <n v="718.46"/>
  </r>
  <r>
    <x v="372"/>
    <s v="21-07-2017"/>
    <x v="32"/>
    <x v="3"/>
    <x v="2"/>
    <n v="1378.95"/>
    <n v="147.96"/>
  </r>
  <r>
    <x v="373"/>
    <s v="28-06-2016"/>
    <x v="30"/>
    <x v="0"/>
    <x v="2"/>
    <n v="810.7"/>
    <n v="214.37"/>
  </r>
  <r>
    <x v="374"/>
    <s v="24-09-2017"/>
    <x v="1"/>
    <x v="1"/>
    <x v="2"/>
    <n v="1783.48"/>
    <n v="263.06"/>
  </r>
  <r>
    <x v="375"/>
    <s v="02-04-2018"/>
    <x v="11"/>
    <x v="2"/>
    <x v="2"/>
    <n v="1496.01"/>
    <n v="388.71"/>
  </r>
  <r>
    <x v="376"/>
    <s v="26-02-2016"/>
    <x v="23"/>
    <x v="2"/>
    <x v="1"/>
    <n v="3414.07"/>
    <n v="328.77"/>
  </r>
  <r>
    <x v="377"/>
    <s v="09-07-2018"/>
    <x v="15"/>
    <x v="3"/>
    <x v="0"/>
    <n v="3805.83"/>
    <n v="496.34"/>
  </r>
  <r>
    <x v="378"/>
    <s v="31-05-2017"/>
    <x v="14"/>
    <x v="2"/>
    <x v="1"/>
    <n v="1016.23"/>
    <n v="287"/>
  </r>
  <r>
    <x v="379"/>
    <s v="11-02-2017"/>
    <x v="7"/>
    <x v="2"/>
    <x v="1"/>
    <n v="2685.66"/>
    <n v="508.27"/>
  </r>
  <r>
    <x v="380"/>
    <s v="27-04-2017"/>
    <x v="21"/>
    <x v="2"/>
    <x v="0"/>
    <n v="1014.3"/>
    <n v="152.78"/>
  </r>
  <r>
    <x v="381"/>
    <s v="02-07-2017"/>
    <x v="32"/>
    <x v="3"/>
    <x v="0"/>
    <n v="156.77000000000001"/>
    <n v="29.44"/>
  </r>
  <r>
    <x v="382"/>
    <s v="17-09-2016"/>
    <x v="28"/>
    <x v="3"/>
    <x v="2"/>
    <n v="721.45"/>
    <n v="140.43"/>
  </r>
  <r>
    <x v="383"/>
    <s v="12-01-2017"/>
    <x v="19"/>
    <x v="0"/>
    <x v="2"/>
    <n v="4192.38"/>
    <n v="636.6"/>
  </r>
  <r>
    <x v="384"/>
    <s v="21-08-2018"/>
    <x v="8"/>
    <x v="0"/>
    <x v="2"/>
    <n v="1441.75"/>
    <n v="180.38"/>
  </r>
  <r>
    <x v="385"/>
    <s v="21-07-2018"/>
    <x v="15"/>
    <x v="1"/>
    <x v="2"/>
    <n v="4385.59"/>
    <n v="720.63"/>
  </r>
  <r>
    <x v="386"/>
    <s v="25-09-2018"/>
    <x v="20"/>
    <x v="2"/>
    <x v="1"/>
    <n v="1430.4"/>
    <n v="268.35000000000002"/>
  </r>
  <r>
    <x v="387"/>
    <s v="01-01-2018"/>
    <x v="18"/>
    <x v="1"/>
    <x v="2"/>
    <n v="2966.04"/>
    <n v="619.16999999999996"/>
  </r>
  <r>
    <x v="388"/>
    <s v="17-03-2016"/>
    <x v="16"/>
    <x v="1"/>
    <x v="2"/>
    <n v="2503.85"/>
    <n v="568.9"/>
  </r>
  <r>
    <x v="389"/>
    <s v="08-03-2017"/>
    <x v="9"/>
    <x v="2"/>
    <x v="1"/>
    <n v="558.91999999999996"/>
    <n v="95.53"/>
  </r>
  <r>
    <x v="390"/>
    <s v="16-03-2017"/>
    <x v="9"/>
    <x v="2"/>
    <x v="2"/>
    <n v="2499.21"/>
    <n v="622.5"/>
  </r>
  <r>
    <x v="391"/>
    <s v="08-06-2018"/>
    <x v="31"/>
    <x v="0"/>
    <x v="1"/>
    <n v="1209.04"/>
    <n v="191.05"/>
  </r>
  <r>
    <x v="392"/>
    <s v="31-07-2018"/>
    <x v="15"/>
    <x v="0"/>
    <x v="2"/>
    <n v="3994.52"/>
    <n v="844.38"/>
  </r>
  <r>
    <x v="393"/>
    <s v="01-08-2016"/>
    <x v="6"/>
    <x v="1"/>
    <x v="1"/>
    <n v="3544.11"/>
    <n v="308.12"/>
  </r>
  <r>
    <x v="394"/>
    <s v="07-02-2017"/>
    <x v="7"/>
    <x v="2"/>
    <x v="1"/>
    <n v="2480.27"/>
    <n v="391.65"/>
  </r>
  <r>
    <x v="395"/>
    <s v="06-02-2017"/>
    <x v="7"/>
    <x v="0"/>
    <x v="0"/>
    <n v="4367.99"/>
    <n v="1028.6400000000001"/>
  </r>
  <r>
    <x v="396"/>
    <s v="04-08-2018"/>
    <x v="8"/>
    <x v="3"/>
    <x v="1"/>
    <n v="4977.43"/>
    <n v="528.82000000000005"/>
  </r>
  <r>
    <x v="397"/>
    <s v="04-06-2017"/>
    <x v="17"/>
    <x v="0"/>
    <x v="2"/>
    <n v="726.1"/>
    <n v="171.67"/>
  </r>
  <r>
    <x v="398"/>
    <s v="13-07-2017"/>
    <x v="32"/>
    <x v="2"/>
    <x v="0"/>
    <n v="1504.55"/>
    <n v="279.58999999999997"/>
  </r>
  <r>
    <x v="399"/>
    <s v="03-07-2017"/>
    <x v="32"/>
    <x v="2"/>
    <x v="2"/>
    <n v="2712.58"/>
    <n v="485.77"/>
  </r>
  <r>
    <x v="400"/>
    <s v="18-08-2018"/>
    <x v="8"/>
    <x v="1"/>
    <x v="2"/>
    <n v="832.42"/>
    <n v="155.44"/>
  </r>
  <r>
    <x v="401"/>
    <s v="26-05-2016"/>
    <x v="22"/>
    <x v="0"/>
    <x v="1"/>
    <n v="1370.5"/>
    <n v="85.28"/>
  </r>
  <r>
    <x v="402"/>
    <s v="07-09-2017"/>
    <x v="1"/>
    <x v="2"/>
    <x v="1"/>
    <n v="2898.36"/>
    <n v="304.77"/>
  </r>
  <r>
    <x v="403"/>
    <s v="27-08-2016"/>
    <x v="6"/>
    <x v="2"/>
    <x v="2"/>
    <n v="1453.33"/>
    <n v="204.05"/>
  </r>
  <r>
    <x v="404"/>
    <s v="22-03-2017"/>
    <x v="9"/>
    <x v="2"/>
    <x v="2"/>
    <n v="868.6"/>
    <n v="218.13"/>
  </r>
  <r>
    <x v="405"/>
    <s v="30-01-2016"/>
    <x v="12"/>
    <x v="3"/>
    <x v="2"/>
    <n v="2711.5"/>
    <n v="150.38"/>
  </r>
  <r>
    <x v="406"/>
    <s v="25-06-2017"/>
    <x v="17"/>
    <x v="3"/>
    <x v="2"/>
    <n v="1436.17"/>
    <n v="400.49"/>
  </r>
  <r>
    <x v="407"/>
    <s v="29-03-2016"/>
    <x v="16"/>
    <x v="2"/>
    <x v="0"/>
    <n v="435.43"/>
    <n v="98.09"/>
  </r>
  <r>
    <x v="408"/>
    <s v="29-03-2016"/>
    <x v="16"/>
    <x v="1"/>
    <x v="2"/>
    <n v="2771.76"/>
    <n v="218.98"/>
  </r>
  <r>
    <x v="409"/>
    <s v="22-02-2017"/>
    <x v="7"/>
    <x v="1"/>
    <x v="0"/>
    <n v="4709.57"/>
    <n v="434.53"/>
  </r>
  <r>
    <x v="410"/>
    <s v="12-07-2017"/>
    <x v="32"/>
    <x v="1"/>
    <x v="1"/>
    <n v="2625.32"/>
    <n v="394.71"/>
  </r>
  <r>
    <x v="411"/>
    <s v="26-10-2017"/>
    <x v="10"/>
    <x v="3"/>
    <x v="2"/>
    <n v="2878.67"/>
    <n v="163.5"/>
  </r>
  <r>
    <x v="412"/>
    <s v="13-12-2016"/>
    <x v="24"/>
    <x v="1"/>
    <x v="2"/>
    <n v="3124.18"/>
    <n v="511.05"/>
  </r>
  <r>
    <x v="413"/>
    <s v="09-06-2018"/>
    <x v="31"/>
    <x v="1"/>
    <x v="1"/>
    <n v="453.95"/>
    <n v="57.78"/>
  </r>
  <r>
    <x v="414"/>
    <s v="01-09-2017"/>
    <x v="1"/>
    <x v="2"/>
    <x v="1"/>
    <n v="2385.5700000000002"/>
    <n v="708.56"/>
  </r>
  <r>
    <x v="415"/>
    <s v="11-06-2017"/>
    <x v="17"/>
    <x v="0"/>
    <x v="2"/>
    <n v="1919.91"/>
    <n v="380.36"/>
  </r>
  <r>
    <x v="416"/>
    <s v="18-04-2018"/>
    <x v="11"/>
    <x v="1"/>
    <x v="2"/>
    <n v="2108.29"/>
    <n v="407.61"/>
  </r>
  <r>
    <x v="417"/>
    <s v="05-08-2016"/>
    <x v="6"/>
    <x v="3"/>
    <x v="0"/>
    <n v="2441.6"/>
    <n v="399.86"/>
  </r>
  <r>
    <x v="418"/>
    <s v="03-05-2018"/>
    <x v="2"/>
    <x v="3"/>
    <x v="2"/>
    <n v="1989.53"/>
    <n v="505.56"/>
  </r>
  <r>
    <x v="419"/>
    <s v="13-09-2017"/>
    <x v="1"/>
    <x v="0"/>
    <x v="2"/>
    <n v="2456.7399999999998"/>
    <n v="379.23"/>
  </r>
  <r>
    <x v="420"/>
    <s v="21-09-2018"/>
    <x v="20"/>
    <x v="3"/>
    <x v="1"/>
    <n v="4332.2299999999996"/>
    <n v="764.26"/>
  </r>
  <r>
    <x v="421"/>
    <s v="10-02-2018"/>
    <x v="5"/>
    <x v="2"/>
    <x v="2"/>
    <n v="2441.04"/>
    <n v="696.55"/>
  </r>
  <r>
    <x v="422"/>
    <s v="10-06-2017"/>
    <x v="17"/>
    <x v="3"/>
    <x v="2"/>
    <n v="266.45"/>
    <n v="75.540000000000006"/>
  </r>
  <r>
    <x v="423"/>
    <s v="20-02-2017"/>
    <x v="7"/>
    <x v="3"/>
    <x v="0"/>
    <n v="1066.54"/>
    <n v="188.28"/>
  </r>
  <r>
    <x v="424"/>
    <s v="27-10-2017"/>
    <x v="10"/>
    <x v="1"/>
    <x v="0"/>
    <n v="131.61000000000001"/>
    <n v="29.38"/>
  </r>
  <r>
    <x v="425"/>
    <s v="28-08-2018"/>
    <x v="8"/>
    <x v="0"/>
    <x v="0"/>
    <n v="587.19000000000005"/>
    <n v="105.67"/>
  </r>
  <r>
    <x v="426"/>
    <s v="02-09-2017"/>
    <x v="1"/>
    <x v="0"/>
    <x v="0"/>
    <n v="2050.9699999999998"/>
    <n v="202.71"/>
  </r>
  <r>
    <x v="427"/>
    <s v="26-11-2016"/>
    <x v="27"/>
    <x v="2"/>
    <x v="0"/>
    <n v="1304.33"/>
    <n v="164.42"/>
  </r>
  <r>
    <x v="428"/>
    <s v="25-09-2016"/>
    <x v="28"/>
    <x v="3"/>
    <x v="0"/>
    <n v="2312.52"/>
    <n v="535.09"/>
  </r>
  <r>
    <x v="429"/>
    <s v="16-03-2018"/>
    <x v="4"/>
    <x v="1"/>
    <x v="0"/>
    <n v="765.11"/>
    <n v="53.05"/>
  </r>
  <r>
    <x v="430"/>
    <s v="18-10-2016"/>
    <x v="25"/>
    <x v="1"/>
    <x v="2"/>
    <n v="1269.96"/>
    <n v="158.56"/>
  </r>
  <r>
    <x v="431"/>
    <s v="11-12-2017"/>
    <x v="26"/>
    <x v="3"/>
    <x v="2"/>
    <n v="1742.23"/>
    <n v="115.15"/>
  </r>
  <r>
    <x v="432"/>
    <s v="30-04-2017"/>
    <x v="21"/>
    <x v="3"/>
    <x v="0"/>
    <n v="4882.58"/>
    <n v="1355.78"/>
  </r>
  <r>
    <x v="433"/>
    <s v="29-05-2017"/>
    <x v="14"/>
    <x v="2"/>
    <x v="0"/>
    <n v="4570.17"/>
    <n v="654.53"/>
  </r>
  <r>
    <x v="434"/>
    <s v="12-05-2016"/>
    <x v="22"/>
    <x v="2"/>
    <x v="1"/>
    <n v="3440.15"/>
    <n v="727.18"/>
  </r>
  <r>
    <x v="435"/>
    <s v="25-02-2018"/>
    <x v="5"/>
    <x v="2"/>
    <x v="0"/>
    <n v="3177.77"/>
    <n v="161.62"/>
  </r>
  <r>
    <x v="436"/>
    <s v="29-03-2016"/>
    <x v="16"/>
    <x v="0"/>
    <x v="0"/>
    <n v="2282.1"/>
    <n v="625.62"/>
  </r>
  <r>
    <x v="437"/>
    <s v="25-09-2016"/>
    <x v="28"/>
    <x v="1"/>
    <x v="0"/>
    <n v="4750.16"/>
    <n v="1407.48"/>
  </r>
  <r>
    <x v="438"/>
    <s v="31-10-2017"/>
    <x v="10"/>
    <x v="0"/>
    <x v="1"/>
    <n v="3423.98"/>
    <n v="402.2"/>
  </r>
  <r>
    <x v="439"/>
    <s v="08-06-2017"/>
    <x v="17"/>
    <x v="3"/>
    <x v="0"/>
    <n v="1954.69"/>
    <n v="116.11"/>
  </r>
  <r>
    <x v="440"/>
    <s v="12-09-2017"/>
    <x v="1"/>
    <x v="0"/>
    <x v="1"/>
    <n v="4688.01"/>
    <n v="392.73"/>
  </r>
  <r>
    <x v="441"/>
    <s v="26-06-2018"/>
    <x v="31"/>
    <x v="2"/>
    <x v="2"/>
    <n v="3587.86"/>
    <n v="604.96"/>
  </r>
  <r>
    <x v="442"/>
    <s v="13-01-2017"/>
    <x v="19"/>
    <x v="2"/>
    <x v="2"/>
    <n v="2603.46"/>
    <n v="428.07"/>
  </r>
  <r>
    <x v="443"/>
    <s v="15-01-2016"/>
    <x v="12"/>
    <x v="0"/>
    <x v="0"/>
    <n v="2904.95"/>
    <n v="421.74"/>
  </r>
  <r>
    <x v="444"/>
    <s v="01-07-2018"/>
    <x v="15"/>
    <x v="0"/>
    <x v="0"/>
    <n v="3645.03"/>
    <n v="512.51"/>
  </r>
  <r>
    <x v="445"/>
    <s v="03-06-2018"/>
    <x v="31"/>
    <x v="3"/>
    <x v="1"/>
    <n v="2076.41"/>
    <n v="398.72"/>
  </r>
  <r>
    <x v="446"/>
    <s v="16-06-2017"/>
    <x v="17"/>
    <x v="3"/>
    <x v="2"/>
    <n v="1434.83"/>
    <n v="359.38"/>
  </r>
  <r>
    <x v="447"/>
    <s v="30-03-2018"/>
    <x v="4"/>
    <x v="2"/>
    <x v="1"/>
    <n v="1358.75"/>
    <n v="285.2"/>
  </r>
  <r>
    <x v="448"/>
    <s v="02-07-2018"/>
    <x v="15"/>
    <x v="2"/>
    <x v="1"/>
    <n v="2355.96"/>
    <n v="506.59"/>
  </r>
  <r>
    <x v="449"/>
    <s v="26-03-2017"/>
    <x v="9"/>
    <x v="3"/>
    <x v="2"/>
    <n v="1338.84"/>
    <n v="196.5"/>
  </r>
  <r>
    <x v="450"/>
    <s v="29-04-2017"/>
    <x v="21"/>
    <x v="1"/>
    <x v="1"/>
    <n v="4376.8599999999997"/>
    <n v="666.24"/>
  </r>
  <r>
    <x v="451"/>
    <s v="23-08-2016"/>
    <x v="6"/>
    <x v="0"/>
    <x v="0"/>
    <n v="4348.13"/>
    <n v="664.63"/>
  </r>
  <r>
    <x v="452"/>
    <s v="18-07-2016"/>
    <x v="0"/>
    <x v="2"/>
    <x v="0"/>
    <n v="2379.0100000000002"/>
    <n v="164.48"/>
  </r>
  <r>
    <x v="453"/>
    <s v="16-12-2016"/>
    <x v="24"/>
    <x v="3"/>
    <x v="0"/>
    <n v="3242.25"/>
    <n v="292.70999999999998"/>
  </r>
  <r>
    <x v="454"/>
    <s v="16-05-2017"/>
    <x v="14"/>
    <x v="0"/>
    <x v="1"/>
    <n v="1936.33"/>
    <n v="322.06"/>
  </r>
  <r>
    <x v="455"/>
    <s v="26-06-2018"/>
    <x v="31"/>
    <x v="3"/>
    <x v="2"/>
    <n v="4123.72"/>
    <n v="301.87"/>
  </r>
  <r>
    <x v="456"/>
    <s v="15-07-2017"/>
    <x v="32"/>
    <x v="1"/>
    <x v="0"/>
    <n v="2726.32"/>
    <n v="554.78"/>
  </r>
  <r>
    <x v="457"/>
    <s v="10-03-2017"/>
    <x v="9"/>
    <x v="2"/>
    <x v="2"/>
    <n v="3920.97"/>
    <n v="375.46"/>
  </r>
  <r>
    <x v="458"/>
    <s v="13-02-2018"/>
    <x v="5"/>
    <x v="0"/>
    <x v="1"/>
    <n v="2718.97"/>
    <n v="792.27"/>
  </r>
  <r>
    <x v="459"/>
    <s v="14-04-2016"/>
    <x v="13"/>
    <x v="0"/>
    <x v="1"/>
    <n v="3202.28"/>
    <n v="925.14"/>
  </r>
  <r>
    <x v="460"/>
    <s v="06-04-2017"/>
    <x v="21"/>
    <x v="1"/>
    <x v="1"/>
    <n v="4237.26"/>
    <n v="631.27"/>
  </r>
  <r>
    <x v="461"/>
    <s v="05-05-2016"/>
    <x v="22"/>
    <x v="0"/>
    <x v="0"/>
    <n v="281.3"/>
    <n v="35.68"/>
  </r>
  <r>
    <x v="462"/>
    <s v="11-05-2017"/>
    <x v="14"/>
    <x v="3"/>
    <x v="1"/>
    <n v="2243.4499999999998"/>
    <n v="200.1"/>
  </r>
  <r>
    <x v="463"/>
    <s v="03-07-2017"/>
    <x v="32"/>
    <x v="1"/>
    <x v="1"/>
    <n v="4849.28"/>
    <n v="616.12"/>
  </r>
  <r>
    <x v="464"/>
    <s v="22-04-2016"/>
    <x v="13"/>
    <x v="0"/>
    <x v="0"/>
    <n v="398.43"/>
    <n v="73.97"/>
  </r>
  <r>
    <x v="465"/>
    <s v="04-01-2017"/>
    <x v="19"/>
    <x v="0"/>
    <x v="1"/>
    <n v="1573.09"/>
    <n v="182.94"/>
  </r>
  <r>
    <x v="466"/>
    <s v="18-06-2017"/>
    <x v="17"/>
    <x v="0"/>
    <x v="0"/>
    <n v="2171.36"/>
    <n v="517.73"/>
  </r>
  <r>
    <x v="467"/>
    <s v="09-11-2016"/>
    <x v="27"/>
    <x v="2"/>
    <x v="2"/>
    <n v="4226.88"/>
    <n v="485.05"/>
  </r>
  <r>
    <x v="468"/>
    <s v="04-11-2017"/>
    <x v="29"/>
    <x v="1"/>
    <x v="0"/>
    <n v="4669.24"/>
    <n v="787.82"/>
  </r>
  <r>
    <x v="469"/>
    <s v="01-08-2016"/>
    <x v="6"/>
    <x v="3"/>
    <x v="2"/>
    <n v="3294.67"/>
    <n v="437.4"/>
  </r>
  <r>
    <x v="470"/>
    <s v="30-06-2017"/>
    <x v="17"/>
    <x v="0"/>
    <x v="1"/>
    <n v="3287.27"/>
    <n v="803.24"/>
  </r>
  <r>
    <x v="471"/>
    <s v="04-02-2016"/>
    <x v="23"/>
    <x v="0"/>
    <x v="2"/>
    <n v="2156.5500000000002"/>
    <n v="276.36"/>
  </r>
  <r>
    <x v="472"/>
    <s v="15-06-2017"/>
    <x v="17"/>
    <x v="2"/>
    <x v="0"/>
    <n v="4141.2700000000004"/>
    <n v="1210.97"/>
  </r>
  <r>
    <x v="473"/>
    <s v="04-11-2016"/>
    <x v="27"/>
    <x v="3"/>
    <x v="0"/>
    <n v="3377.45"/>
    <n v="923.99"/>
  </r>
  <r>
    <x v="474"/>
    <s v="07-07-2016"/>
    <x v="0"/>
    <x v="3"/>
    <x v="0"/>
    <n v="4925.62"/>
    <n v="1057.3399999999999"/>
  </r>
  <r>
    <x v="475"/>
    <s v="19-11-2016"/>
    <x v="27"/>
    <x v="3"/>
    <x v="1"/>
    <n v="3587.1"/>
    <n v="370.52"/>
  </r>
  <r>
    <x v="476"/>
    <s v="20-03-2017"/>
    <x v="9"/>
    <x v="3"/>
    <x v="2"/>
    <n v="1509.86"/>
    <n v="436.91"/>
  </r>
  <r>
    <x v="477"/>
    <s v="09-06-2018"/>
    <x v="31"/>
    <x v="3"/>
    <x v="1"/>
    <n v="2370.29"/>
    <n v="224.61"/>
  </r>
  <r>
    <x v="478"/>
    <s v="25-04-2018"/>
    <x v="11"/>
    <x v="3"/>
    <x v="1"/>
    <n v="4689.5200000000004"/>
    <n v="1401.73"/>
  </r>
  <r>
    <x v="479"/>
    <s v="11-07-2018"/>
    <x v="15"/>
    <x v="1"/>
    <x v="1"/>
    <n v="4313.6499999999996"/>
    <n v="686.02"/>
  </r>
  <r>
    <x v="480"/>
    <s v="06-02-2018"/>
    <x v="5"/>
    <x v="1"/>
    <x v="0"/>
    <n v="736.86"/>
    <n v="114.66"/>
  </r>
  <r>
    <x v="481"/>
    <s v="26-02-2018"/>
    <x v="5"/>
    <x v="1"/>
    <x v="2"/>
    <n v="4738.66"/>
    <n v="1020.97"/>
  </r>
  <r>
    <x v="482"/>
    <s v="04-11-2017"/>
    <x v="29"/>
    <x v="0"/>
    <x v="2"/>
    <n v="4578.2299999999996"/>
    <n v="260.99"/>
  </r>
  <r>
    <x v="483"/>
    <s v="12-09-2018"/>
    <x v="20"/>
    <x v="3"/>
    <x v="1"/>
    <n v="4773.6000000000004"/>
    <n v="1172.67"/>
  </r>
  <r>
    <x v="484"/>
    <s v="10-02-2016"/>
    <x v="23"/>
    <x v="0"/>
    <x v="1"/>
    <n v="3719.63"/>
    <n v="400.98"/>
  </r>
  <r>
    <x v="485"/>
    <s v="17-03-2017"/>
    <x v="9"/>
    <x v="3"/>
    <x v="2"/>
    <n v="1750.56"/>
    <n v="438.2"/>
  </r>
  <r>
    <x v="486"/>
    <s v="28-03-2017"/>
    <x v="9"/>
    <x v="1"/>
    <x v="0"/>
    <n v="2395.19"/>
    <n v="579.14"/>
  </r>
  <r>
    <x v="487"/>
    <s v="09-05-2017"/>
    <x v="14"/>
    <x v="3"/>
    <x v="1"/>
    <n v="1672.24"/>
    <n v="429.71"/>
  </r>
  <r>
    <x v="488"/>
    <s v="07-12-2017"/>
    <x v="26"/>
    <x v="2"/>
    <x v="2"/>
    <n v="4631.34"/>
    <n v="641.24"/>
  </r>
  <r>
    <x v="489"/>
    <s v="02-07-2018"/>
    <x v="15"/>
    <x v="1"/>
    <x v="2"/>
    <n v="3934.13"/>
    <n v="1144.53"/>
  </r>
  <r>
    <x v="490"/>
    <s v="10-03-2016"/>
    <x v="16"/>
    <x v="2"/>
    <x v="1"/>
    <n v="2445.0500000000002"/>
    <n v="237.06"/>
  </r>
  <r>
    <x v="491"/>
    <s v="31-01-2017"/>
    <x v="19"/>
    <x v="3"/>
    <x v="1"/>
    <n v="242.1"/>
    <n v="42.73"/>
  </r>
  <r>
    <x v="492"/>
    <s v="01-05-2018"/>
    <x v="2"/>
    <x v="3"/>
    <x v="2"/>
    <n v="4326.7"/>
    <n v="234.66"/>
  </r>
  <r>
    <x v="493"/>
    <s v="09-12-2016"/>
    <x v="24"/>
    <x v="1"/>
    <x v="1"/>
    <n v="4577.3500000000004"/>
    <n v="1047.55"/>
  </r>
  <r>
    <x v="494"/>
    <s v="21-08-2017"/>
    <x v="3"/>
    <x v="2"/>
    <x v="0"/>
    <n v="3167.98"/>
    <n v="471.12"/>
  </r>
  <r>
    <x v="495"/>
    <s v="13-09-2016"/>
    <x v="28"/>
    <x v="2"/>
    <x v="1"/>
    <n v="2193.87"/>
    <n v="396.47"/>
  </r>
  <r>
    <x v="496"/>
    <s v="19-11-2016"/>
    <x v="27"/>
    <x v="3"/>
    <x v="1"/>
    <n v="1398.78"/>
    <n v="315.51"/>
  </r>
  <r>
    <x v="497"/>
    <s v="15-02-2016"/>
    <x v="23"/>
    <x v="2"/>
    <x v="2"/>
    <n v="604.64"/>
    <n v="113.49"/>
  </r>
  <r>
    <x v="498"/>
    <s v="09-09-2018"/>
    <x v="20"/>
    <x v="2"/>
    <x v="1"/>
    <n v="3727.15"/>
    <n v="665.34"/>
  </r>
  <r>
    <x v="499"/>
    <s v="25-06-2016"/>
    <x v="30"/>
    <x v="3"/>
    <x v="1"/>
    <n v="4010.56"/>
    <n v="229.41"/>
  </r>
  <r>
    <x v="500"/>
    <s v="15-02-2017"/>
    <x v="7"/>
    <x v="3"/>
    <x v="0"/>
    <n v="2805.38"/>
    <n v="365.85"/>
  </r>
  <r>
    <x v="501"/>
    <s v="23-10-2017"/>
    <x v="10"/>
    <x v="1"/>
    <x v="0"/>
    <n v="1292.33"/>
    <n v="155.49"/>
  </r>
  <r>
    <x v="502"/>
    <s v="13-05-2018"/>
    <x v="2"/>
    <x v="0"/>
    <x v="1"/>
    <n v="839.59"/>
    <n v="216.26"/>
  </r>
  <r>
    <x v="503"/>
    <s v="05-04-2018"/>
    <x v="11"/>
    <x v="1"/>
    <x v="0"/>
    <n v="3233.91"/>
    <n v="204.82"/>
  </r>
  <r>
    <x v="504"/>
    <s v="02-08-2016"/>
    <x v="6"/>
    <x v="1"/>
    <x v="1"/>
    <n v="2913.36"/>
    <n v="282.27"/>
  </r>
  <r>
    <x v="505"/>
    <s v="24-09-2018"/>
    <x v="20"/>
    <x v="0"/>
    <x v="1"/>
    <n v="2644.71"/>
    <n v="673.09"/>
  </r>
  <r>
    <x v="506"/>
    <s v="02-07-2017"/>
    <x v="32"/>
    <x v="2"/>
    <x v="1"/>
    <n v="3527.42"/>
    <n v="892.16"/>
  </r>
  <r>
    <x v="507"/>
    <s v="25-07-2016"/>
    <x v="0"/>
    <x v="0"/>
    <x v="1"/>
    <n v="788.9"/>
    <n v="136.81"/>
  </r>
  <r>
    <x v="508"/>
    <s v="20-03-2016"/>
    <x v="16"/>
    <x v="3"/>
    <x v="0"/>
    <n v="144"/>
    <n v="11.38"/>
  </r>
  <r>
    <x v="509"/>
    <s v="24-07-2017"/>
    <x v="32"/>
    <x v="2"/>
    <x v="2"/>
    <n v="3026.67"/>
    <n v="774.34"/>
  </r>
  <r>
    <x v="510"/>
    <s v="23-01-2016"/>
    <x v="12"/>
    <x v="3"/>
    <x v="2"/>
    <n v="4512.93"/>
    <n v="521.65"/>
  </r>
  <r>
    <x v="511"/>
    <s v="22-06-2016"/>
    <x v="30"/>
    <x v="3"/>
    <x v="0"/>
    <n v="2771.37"/>
    <n v="796.26"/>
  </r>
  <r>
    <x v="512"/>
    <s v="29-07-2017"/>
    <x v="32"/>
    <x v="2"/>
    <x v="1"/>
    <n v="3571.63"/>
    <n v="536.22"/>
  </r>
  <r>
    <x v="513"/>
    <s v="29-02-2016"/>
    <x v="23"/>
    <x v="2"/>
    <x v="0"/>
    <n v="1046.5899999999999"/>
    <n v="313.19"/>
  </r>
  <r>
    <x v="514"/>
    <s v="26-08-2017"/>
    <x v="3"/>
    <x v="1"/>
    <x v="1"/>
    <n v="645.21"/>
    <n v="182.54"/>
  </r>
  <r>
    <x v="515"/>
    <s v="26-10-2016"/>
    <x v="25"/>
    <x v="3"/>
    <x v="1"/>
    <n v="516.75"/>
    <n v="152.13999999999999"/>
  </r>
  <r>
    <x v="516"/>
    <s v="25-07-2018"/>
    <x v="15"/>
    <x v="3"/>
    <x v="1"/>
    <n v="3103.66"/>
    <n v="646.05999999999995"/>
  </r>
  <r>
    <x v="517"/>
    <s v="12-05-2018"/>
    <x v="2"/>
    <x v="1"/>
    <x v="2"/>
    <n v="3452.67"/>
    <n v="1030.5"/>
  </r>
  <r>
    <x v="518"/>
    <s v="11-01-2018"/>
    <x v="18"/>
    <x v="1"/>
    <x v="1"/>
    <n v="3024.71"/>
    <n v="197.48"/>
  </r>
  <r>
    <x v="519"/>
    <s v="14-03-2016"/>
    <x v="16"/>
    <x v="0"/>
    <x v="2"/>
    <n v="3505.68"/>
    <n v="600.41"/>
  </r>
  <r>
    <x v="520"/>
    <s v="29-07-2017"/>
    <x v="32"/>
    <x v="0"/>
    <x v="1"/>
    <n v="972.5"/>
    <n v="286.42"/>
  </r>
  <r>
    <x v="521"/>
    <s v="17-12-2016"/>
    <x v="24"/>
    <x v="3"/>
    <x v="2"/>
    <n v="2981.88"/>
    <n v="726.19"/>
  </r>
  <r>
    <x v="522"/>
    <s v="23-05-2017"/>
    <x v="14"/>
    <x v="2"/>
    <x v="1"/>
    <n v="3583.93"/>
    <n v="346.6"/>
  </r>
  <r>
    <x v="523"/>
    <s v="24-07-2016"/>
    <x v="0"/>
    <x v="0"/>
    <x v="2"/>
    <n v="829.37"/>
    <n v="187.58"/>
  </r>
  <r>
    <x v="524"/>
    <s v="19-03-2017"/>
    <x v="9"/>
    <x v="2"/>
    <x v="1"/>
    <n v="2324.25"/>
    <n v="365.51"/>
  </r>
  <r>
    <x v="525"/>
    <s v="09-11-2016"/>
    <x v="27"/>
    <x v="1"/>
    <x v="2"/>
    <n v="4135.57"/>
    <n v="753.93"/>
  </r>
  <r>
    <x v="526"/>
    <s v="13-09-2017"/>
    <x v="1"/>
    <x v="0"/>
    <x v="2"/>
    <n v="281.98"/>
    <n v="30.93"/>
  </r>
  <r>
    <x v="527"/>
    <s v="16-04-2018"/>
    <x v="11"/>
    <x v="3"/>
    <x v="1"/>
    <n v="3111.99"/>
    <n v="451.71"/>
  </r>
  <r>
    <x v="528"/>
    <s v="27-07-2016"/>
    <x v="0"/>
    <x v="2"/>
    <x v="1"/>
    <n v="3055.62"/>
    <n v="498.26"/>
  </r>
  <r>
    <x v="529"/>
    <s v="10-03-2018"/>
    <x v="4"/>
    <x v="0"/>
    <x v="0"/>
    <n v="494.07"/>
    <n v="61.88"/>
  </r>
  <r>
    <x v="530"/>
    <s v="01-06-2017"/>
    <x v="17"/>
    <x v="1"/>
    <x v="1"/>
    <n v="4355.68"/>
    <n v="769.48"/>
  </r>
  <r>
    <x v="531"/>
    <s v="04-10-2016"/>
    <x v="25"/>
    <x v="0"/>
    <x v="2"/>
    <n v="2900.16"/>
    <n v="790.59"/>
  </r>
  <r>
    <x v="532"/>
    <s v="02-10-2017"/>
    <x v="10"/>
    <x v="2"/>
    <x v="1"/>
    <n v="3514.57"/>
    <n v="733.65"/>
  </r>
  <r>
    <x v="533"/>
    <s v="10-05-2016"/>
    <x v="22"/>
    <x v="1"/>
    <x v="0"/>
    <n v="751.18"/>
    <n v="176.51"/>
  </r>
  <r>
    <x v="534"/>
    <s v="08-04-2017"/>
    <x v="21"/>
    <x v="0"/>
    <x v="1"/>
    <n v="1665.79"/>
    <n v="276.62"/>
  </r>
  <r>
    <x v="535"/>
    <s v="10-09-2016"/>
    <x v="28"/>
    <x v="2"/>
    <x v="0"/>
    <n v="2960.09"/>
    <n v="570.05999999999995"/>
  </r>
  <r>
    <x v="536"/>
    <s v="27-10-2017"/>
    <x v="10"/>
    <x v="1"/>
    <x v="0"/>
    <n v="266.77"/>
    <n v="60.27"/>
  </r>
  <r>
    <x v="537"/>
    <s v="20-02-2018"/>
    <x v="5"/>
    <x v="3"/>
    <x v="0"/>
    <n v="3206.55"/>
    <n v="232.78"/>
  </r>
  <r>
    <x v="538"/>
    <s v="05-04-2017"/>
    <x v="21"/>
    <x v="2"/>
    <x v="1"/>
    <n v="2313.16"/>
    <n v="417.71"/>
  </r>
  <r>
    <x v="539"/>
    <s v="29-01-2018"/>
    <x v="18"/>
    <x v="3"/>
    <x v="0"/>
    <n v="2221.7199999999998"/>
    <n v="337.61"/>
  </r>
  <r>
    <x v="540"/>
    <s v="17-08-2016"/>
    <x v="6"/>
    <x v="2"/>
    <x v="2"/>
    <n v="3708.6"/>
    <n v="450.29"/>
  </r>
  <r>
    <x v="541"/>
    <s v="10-08-2016"/>
    <x v="6"/>
    <x v="2"/>
    <x v="0"/>
    <n v="4776.91"/>
    <n v="975.03"/>
  </r>
  <r>
    <x v="542"/>
    <s v="14-10-2016"/>
    <x v="25"/>
    <x v="1"/>
    <x v="2"/>
    <n v="1178.83"/>
    <n v="326.76"/>
  </r>
  <r>
    <x v="543"/>
    <s v="04-12-2016"/>
    <x v="24"/>
    <x v="3"/>
    <x v="2"/>
    <n v="705.1"/>
    <n v="130.05000000000001"/>
  </r>
  <r>
    <x v="544"/>
    <s v="15-09-2017"/>
    <x v="1"/>
    <x v="3"/>
    <x v="2"/>
    <n v="2213.91"/>
    <n v="344.38"/>
  </r>
  <r>
    <x v="545"/>
    <s v="07-05-2017"/>
    <x v="14"/>
    <x v="1"/>
    <x v="1"/>
    <n v="1505.22"/>
    <n v="255.31"/>
  </r>
  <r>
    <x v="546"/>
    <s v="07-02-2018"/>
    <x v="5"/>
    <x v="3"/>
    <x v="1"/>
    <n v="3933.02"/>
    <n v="877.68"/>
  </r>
  <r>
    <x v="547"/>
    <s v="31-01-2018"/>
    <x v="18"/>
    <x v="1"/>
    <x v="2"/>
    <n v="4574.8599999999997"/>
    <n v="1333.19"/>
  </r>
  <r>
    <x v="548"/>
    <s v="25-12-2017"/>
    <x v="26"/>
    <x v="2"/>
    <x v="1"/>
    <n v="1741.92"/>
    <n v="421.84"/>
  </r>
  <r>
    <x v="549"/>
    <s v="23-04-2017"/>
    <x v="21"/>
    <x v="2"/>
    <x v="2"/>
    <n v="1593.69"/>
    <n v="430.5"/>
  </r>
  <r>
    <x v="550"/>
    <s v="30-03-2017"/>
    <x v="9"/>
    <x v="1"/>
    <x v="1"/>
    <n v="338.25"/>
    <n v="93.46"/>
  </r>
  <r>
    <x v="551"/>
    <s v="11-04-2018"/>
    <x v="11"/>
    <x v="3"/>
    <x v="0"/>
    <n v="514.97"/>
    <n v="60.29"/>
  </r>
  <r>
    <x v="552"/>
    <s v="12-05-2018"/>
    <x v="2"/>
    <x v="0"/>
    <x v="2"/>
    <n v="922.25"/>
    <n v="70.66"/>
  </r>
  <r>
    <x v="553"/>
    <s v="11-09-2018"/>
    <x v="20"/>
    <x v="0"/>
    <x v="0"/>
    <n v="3003.08"/>
    <n v="324.89"/>
  </r>
  <r>
    <x v="554"/>
    <s v="21-10-2017"/>
    <x v="10"/>
    <x v="3"/>
    <x v="1"/>
    <n v="168.37"/>
    <n v="35"/>
  </r>
  <r>
    <x v="555"/>
    <s v="23-02-2016"/>
    <x v="23"/>
    <x v="1"/>
    <x v="0"/>
    <n v="4257.6499999999996"/>
    <n v="427.19"/>
  </r>
  <r>
    <x v="556"/>
    <s v="17-05-2016"/>
    <x v="22"/>
    <x v="3"/>
    <x v="0"/>
    <n v="2996.8"/>
    <n v="755.11"/>
  </r>
  <r>
    <x v="557"/>
    <s v="19-04-2018"/>
    <x v="11"/>
    <x v="3"/>
    <x v="1"/>
    <n v="402.67"/>
    <n v="106.52"/>
  </r>
  <r>
    <x v="558"/>
    <s v="08-04-2016"/>
    <x v="13"/>
    <x v="2"/>
    <x v="1"/>
    <n v="3594.76"/>
    <n v="551.20000000000005"/>
  </r>
  <r>
    <x v="559"/>
    <s v="28-01-2016"/>
    <x v="12"/>
    <x v="3"/>
    <x v="1"/>
    <n v="1980.27"/>
    <n v="562.29999999999995"/>
  </r>
  <r>
    <x v="560"/>
    <s v="14-03-2017"/>
    <x v="9"/>
    <x v="3"/>
    <x v="0"/>
    <n v="3444.96"/>
    <n v="351.36"/>
  </r>
  <r>
    <x v="561"/>
    <s v="10-09-2018"/>
    <x v="20"/>
    <x v="0"/>
    <x v="1"/>
    <n v="3886.53"/>
    <n v="838.37"/>
  </r>
  <r>
    <x v="562"/>
    <s v="02-05-2016"/>
    <x v="22"/>
    <x v="2"/>
    <x v="1"/>
    <n v="1952.2"/>
    <n v="476.15"/>
  </r>
  <r>
    <x v="563"/>
    <s v="20-09-2018"/>
    <x v="20"/>
    <x v="2"/>
    <x v="0"/>
    <n v="1047.3599999999999"/>
    <n v="224.37"/>
  </r>
  <r>
    <x v="564"/>
    <s v="26-05-2018"/>
    <x v="2"/>
    <x v="1"/>
    <x v="0"/>
    <n v="2003.18"/>
    <n v="289.73"/>
  </r>
  <r>
    <x v="565"/>
    <s v="01-07-2017"/>
    <x v="32"/>
    <x v="2"/>
    <x v="2"/>
    <n v="915.77"/>
    <n v="237.17"/>
  </r>
  <r>
    <x v="566"/>
    <s v="30-10-2016"/>
    <x v="25"/>
    <x v="1"/>
    <x v="1"/>
    <n v="1799.48"/>
    <n v="348.18"/>
  </r>
  <r>
    <x v="567"/>
    <s v="07-09-2017"/>
    <x v="1"/>
    <x v="1"/>
    <x v="0"/>
    <n v="4254.8999999999996"/>
    <n v="901.63"/>
  </r>
  <r>
    <x v="568"/>
    <s v="21-01-2017"/>
    <x v="19"/>
    <x v="2"/>
    <x v="1"/>
    <n v="992.82"/>
    <n v="80.680000000000007"/>
  </r>
  <r>
    <x v="569"/>
    <s v="26-01-2017"/>
    <x v="19"/>
    <x v="3"/>
    <x v="2"/>
    <n v="2690.74"/>
    <n v="169.98"/>
  </r>
  <r>
    <x v="570"/>
    <s v="21-05-2018"/>
    <x v="2"/>
    <x v="1"/>
    <x v="2"/>
    <n v="1997.39"/>
    <n v="442.93"/>
  </r>
  <r>
    <x v="571"/>
    <s v="08-05-2016"/>
    <x v="22"/>
    <x v="1"/>
    <x v="2"/>
    <n v="475.6"/>
    <n v="33.729999999999997"/>
  </r>
  <r>
    <x v="572"/>
    <s v="22-02-2016"/>
    <x v="23"/>
    <x v="2"/>
    <x v="0"/>
    <n v="4839.6400000000003"/>
    <n v="716.39"/>
  </r>
  <r>
    <x v="573"/>
    <s v="30-07-2017"/>
    <x v="32"/>
    <x v="0"/>
    <x v="1"/>
    <n v="4876.3100000000004"/>
    <n v="754"/>
  </r>
  <r>
    <x v="574"/>
    <s v="20-12-2016"/>
    <x v="24"/>
    <x v="0"/>
    <x v="1"/>
    <n v="4776.6400000000003"/>
    <n v="1378.82"/>
  </r>
  <r>
    <x v="575"/>
    <s v="14-07-2017"/>
    <x v="32"/>
    <x v="0"/>
    <x v="2"/>
    <n v="2206.67"/>
    <n v="236.32"/>
  </r>
  <r>
    <x v="576"/>
    <s v="10-07-2016"/>
    <x v="0"/>
    <x v="2"/>
    <x v="1"/>
    <n v="4616.37"/>
    <n v="744.99"/>
  </r>
  <r>
    <x v="577"/>
    <s v="12-07-2018"/>
    <x v="15"/>
    <x v="3"/>
    <x v="1"/>
    <n v="4342.05"/>
    <n v="1007.01"/>
  </r>
  <r>
    <x v="578"/>
    <s v="27-12-2017"/>
    <x v="26"/>
    <x v="1"/>
    <x v="0"/>
    <n v="4538.3100000000004"/>
    <n v="1111.5"/>
  </r>
  <r>
    <x v="579"/>
    <s v="29-09-2016"/>
    <x v="28"/>
    <x v="0"/>
    <x v="1"/>
    <n v="4658.42"/>
    <n v="664.62"/>
  </r>
  <r>
    <x v="580"/>
    <s v="21-01-2017"/>
    <x v="19"/>
    <x v="1"/>
    <x v="1"/>
    <n v="2674.49"/>
    <n v="748.13"/>
  </r>
  <r>
    <x v="581"/>
    <s v="10-09-2016"/>
    <x v="28"/>
    <x v="0"/>
    <x v="2"/>
    <n v="191.67"/>
    <n v="44.42"/>
  </r>
  <r>
    <x v="582"/>
    <s v="12-03-2018"/>
    <x v="4"/>
    <x v="1"/>
    <x v="1"/>
    <n v="4697.54"/>
    <n v="254.34"/>
  </r>
  <r>
    <x v="583"/>
    <s v="22-07-2018"/>
    <x v="15"/>
    <x v="1"/>
    <x v="0"/>
    <n v="2237.4699999999998"/>
    <n v="524.28"/>
  </r>
  <r>
    <x v="584"/>
    <s v="08-02-2017"/>
    <x v="7"/>
    <x v="1"/>
    <x v="0"/>
    <n v="817.96"/>
    <n v="198.09"/>
  </r>
  <r>
    <x v="585"/>
    <s v="11-08-2016"/>
    <x v="6"/>
    <x v="2"/>
    <x v="0"/>
    <n v="4792.3900000000003"/>
    <n v="1047.49"/>
  </r>
  <r>
    <x v="586"/>
    <s v="22-03-2017"/>
    <x v="9"/>
    <x v="3"/>
    <x v="2"/>
    <n v="2829.22"/>
    <n v="303.39999999999998"/>
  </r>
  <r>
    <x v="587"/>
    <s v="29-05-2016"/>
    <x v="22"/>
    <x v="3"/>
    <x v="0"/>
    <n v="2303.27"/>
    <n v="279.69"/>
  </r>
  <r>
    <x v="588"/>
    <s v="07-08-2017"/>
    <x v="3"/>
    <x v="2"/>
    <x v="2"/>
    <n v="4321.25"/>
    <n v="1286.29"/>
  </r>
  <r>
    <x v="589"/>
    <s v="23-07-2018"/>
    <x v="15"/>
    <x v="1"/>
    <x v="2"/>
    <n v="4233.42"/>
    <n v="855.91"/>
  </r>
  <r>
    <x v="590"/>
    <s v="30-08-2018"/>
    <x v="8"/>
    <x v="3"/>
    <x v="0"/>
    <n v="158.53"/>
    <n v="34.619999999999997"/>
  </r>
  <r>
    <x v="591"/>
    <s v="29-05-2018"/>
    <x v="2"/>
    <x v="0"/>
    <x v="1"/>
    <n v="3995.2"/>
    <n v="700.45"/>
  </r>
  <r>
    <x v="592"/>
    <s v="18-02-2018"/>
    <x v="5"/>
    <x v="2"/>
    <x v="1"/>
    <n v="2515.11"/>
    <n v="624.91"/>
  </r>
  <r>
    <x v="593"/>
    <s v="30-07-2016"/>
    <x v="0"/>
    <x v="1"/>
    <x v="1"/>
    <n v="3370.12"/>
    <n v="956.52"/>
  </r>
  <r>
    <x v="594"/>
    <s v="10-07-2018"/>
    <x v="15"/>
    <x v="0"/>
    <x v="1"/>
    <n v="4656.88"/>
    <n v="1351.88"/>
  </r>
  <r>
    <x v="595"/>
    <s v="21-04-2018"/>
    <x v="11"/>
    <x v="1"/>
    <x v="2"/>
    <n v="1405.5"/>
    <n v="210.93"/>
  </r>
  <r>
    <x v="596"/>
    <s v="22-01-2017"/>
    <x v="19"/>
    <x v="1"/>
    <x v="0"/>
    <n v="3344.51"/>
    <n v="1000.57"/>
  </r>
  <r>
    <x v="597"/>
    <s v="05-08-2018"/>
    <x v="8"/>
    <x v="2"/>
    <x v="1"/>
    <n v="841.73"/>
    <n v="206.63"/>
  </r>
  <r>
    <x v="598"/>
    <s v="18-05-2017"/>
    <x v="14"/>
    <x v="1"/>
    <x v="2"/>
    <n v="2846.52"/>
    <n v="315.89999999999998"/>
  </r>
  <r>
    <x v="599"/>
    <s v="10-10-2016"/>
    <x v="25"/>
    <x v="3"/>
    <x v="0"/>
    <n v="3025.9"/>
    <n v="623.27"/>
  </r>
  <r>
    <x v="600"/>
    <s v="03-11-2017"/>
    <x v="29"/>
    <x v="1"/>
    <x v="2"/>
    <n v="2903.56"/>
    <n v="450.8"/>
  </r>
  <r>
    <x v="601"/>
    <s v="07-12-2016"/>
    <x v="24"/>
    <x v="1"/>
    <x v="0"/>
    <n v="2136.21"/>
    <n v="244.17"/>
  </r>
  <r>
    <x v="602"/>
    <s v="19-06-2017"/>
    <x v="17"/>
    <x v="3"/>
    <x v="2"/>
    <n v="165.2"/>
    <n v="18.34"/>
  </r>
  <r>
    <x v="603"/>
    <s v="06-04-2017"/>
    <x v="21"/>
    <x v="0"/>
    <x v="2"/>
    <n v="1788.19"/>
    <n v="184.12"/>
  </r>
  <r>
    <x v="604"/>
    <s v="19-03-2016"/>
    <x v="16"/>
    <x v="3"/>
    <x v="0"/>
    <n v="4621.97"/>
    <n v="1202.5899999999999"/>
  </r>
  <r>
    <x v="605"/>
    <s v="22-05-2017"/>
    <x v="14"/>
    <x v="1"/>
    <x v="2"/>
    <n v="377.3"/>
    <n v="39.869999999999997"/>
  </r>
  <r>
    <x v="606"/>
    <s v="10-02-2018"/>
    <x v="5"/>
    <x v="1"/>
    <x v="1"/>
    <n v="880.17"/>
    <n v="113.1"/>
  </r>
  <r>
    <x v="607"/>
    <s v="12-11-2017"/>
    <x v="29"/>
    <x v="3"/>
    <x v="1"/>
    <n v="585.87"/>
    <n v="67.55"/>
  </r>
  <r>
    <x v="608"/>
    <s v="08-06-2018"/>
    <x v="31"/>
    <x v="0"/>
    <x v="0"/>
    <n v="528.65"/>
    <n v="67.31"/>
  </r>
  <r>
    <x v="609"/>
    <s v="24-09-2016"/>
    <x v="28"/>
    <x v="2"/>
    <x v="0"/>
    <n v="4354.3"/>
    <n v="669.69"/>
  </r>
  <r>
    <x v="610"/>
    <s v="04-08-2018"/>
    <x v="8"/>
    <x v="0"/>
    <x v="2"/>
    <n v="4200.51"/>
    <n v="805.13"/>
  </r>
  <r>
    <x v="611"/>
    <s v="31-10-2016"/>
    <x v="25"/>
    <x v="1"/>
    <x v="0"/>
    <n v="4248.1499999999996"/>
    <n v="1262.54"/>
  </r>
  <r>
    <x v="612"/>
    <s v="16-06-2017"/>
    <x v="17"/>
    <x v="0"/>
    <x v="2"/>
    <n v="3540.2"/>
    <n v="418.48"/>
  </r>
  <r>
    <x v="613"/>
    <s v="15-08-2018"/>
    <x v="8"/>
    <x v="3"/>
    <x v="1"/>
    <n v="1681.41"/>
    <n v="294.77"/>
  </r>
  <r>
    <x v="614"/>
    <s v="04-12-2016"/>
    <x v="24"/>
    <x v="1"/>
    <x v="0"/>
    <n v="2753.9"/>
    <n v="522.19000000000005"/>
  </r>
  <r>
    <x v="615"/>
    <s v="03-12-2017"/>
    <x v="26"/>
    <x v="0"/>
    <x v="2"/>
    <n v="1130.28"/>
    <n v="220.47"/>
  </r>
  <r>
    <x v="616"/>
    <s v="09-10-2017"/>
    <x v="10"/>
    <x v="1"/>
    <x v="2"/>
    <n v="3575.34"/>
    <n v="641.86"/>
  </r>
  <r>
    <x v="617"/>
    <s v="06-10-2017"/>
    <x v="10"/>
    <x v="2"/>
    <x v="0"/>
    <n v="4614.58"/>
    <n v="953.23"/>
  </r>
  <r>
    <x v="618"/>
    <s v="28-04-2018"/>
    <x v="11"/>
    <x v="1"/>
    <x v="2"/>
    <n v="3236.66"/>
    <n v="864.93"/>
  </r>
  <r>
    <x v="619"/>
    <s v="05-01-2017"/>
    <x v="19"/>
    <x v="3"/>
    <x v="2"/>
    <n v="3942.51"/>
    <n v="348.45"/>
  </r>
  <r>
    <x v="620"/>
    <s v="09-06-2016"/>
    <x v="30"/>
    <x v="1"/>
    <x v="0"/>
    <n v="757.31"/>
    <n v="137.06"/>
  </r>
  <r>
    <x v="621"/>
    <s v="18-10-2016"/>
    <x v="25"/>
    <x v="2"/>
    <x v="1"/>
    <n v="1867.17"/>
    <n v="280.79000000000002"/>
  </r>
  <r>
    <x v="622"/>
    <s v="24-07-2016"/>
    <x v="0"/>
    <x v="0"/>
    <x v="2"/>
    <n v="4272.1899999999996"/>
    <n v="1155.76"/>
  </r>
  <r>
    <x v="623"/>
    <s v="24-05-2016"/>
    <x v="22"/>
    <x v="2"/>
    <x v="0"/>
    <n v="4090.41"/>
    <n v="1085.25"/>
  </r>
  <r>
    <x v="624"/>
    <s v="24-12-2017"/>
    <x v="26"/>
    <x v="3"/>
    <x v="1"/>
    <n v="773.32"/>
    <n v="216.45"/>
  </r>
  <r>
    <x v="625"/>
    <s v="10-08-2018"/>
    <x v="8"/>
    <x v="1"/>
    <x v="0"/>
    <n v="4595.7700000000004"/>
    <n v="682"/>
  </r>
  <r>
    <x v="626"/>
    <s v="07-04-2018"/>
    <x v="11"/>
    <x v="1"/>
    <x v="0"/>
    <n v="1479.74"/>
    <n v="232.61"/>
  </r>
  <r>
    <x v="627"/>
    <s v="18-11-2016"/>
    <x v="27"/>
    <x v="2"/>
    <x v="1"/>
    <n v="1907.4"/>
    <n v="144.38999999999999"/>
  </r>
  <r>
    <x v="628"/>
    <s v="30-01-2017"/>
    <x v="19"/>
    <x v="3"/>
    <x v="2"/>
    <n v="2878.48"/>
    <n v="706.95"/>
  </r>
  <r>
    <x v="629"/>
    <s v="19-02-2016"/>
    <x v="23"/>
    <x v="2"/>
    <x v="1"/>
    <n v="3216.6"/>
    <n v="582.26"/>
  </r>
  <r>
    <x v="630"/>
    <s v="18-09-2016"/>
    <x v="28"/>
    <x v="3"/>
    <x v="1"/>
    <n v="4522.3999999999996"/>
    <n v="738.04"/>
  </r>
  <r>
    <x v="631"/>
    <s v="01-03-2017"/>
    <x v="9"/>
    <x v="1"/>
    <x v="1"/>
    <n v="2787.09"/>
    <n v="390.77"/>
  </r>
  <r>
    <x v="632"/>
    <s v="10-07-2016"/>
    <x v="0"/>
    <x v="0"/>
    <x v="2"/>
    <n v="3833.65"/>
    <n v="851.58"/>
  </r>
  <r>
    <x v="633"/>
    <s v="28-03-2017"/>
    <x v="9"/>
    <x v="3"/>
    <x v="0"/>
    <n v="2687.86"/>
    <n v="448.24"/>
  </r>
  <r>
    <x v="634"/>
    <s v="08-07-2016"/>
    <x v="0"/>
    <x v="3"/>
    <x v="0"/>
    <n v="3304.7"/>
    <n v="282"/>
  </r>
  <r>
    <x v="635"/>
    <s v="20-08-2017"/>
    <x v="3"/>
    <x v="3"/>
    <x v="2"/>
    <n v="4408.78"/>
    <n v="1290.8900000000001"/>
  </r>
  <r>
    <x v="636"/>
    <s v="07-12-2016"/>
    <x v="24"/>
    <x v="1"/>
    <x v="1"/>
    <n v="4501.3500000000004"/>
    <n v="953.91"/>
  </r>
  <r>
    <x v="637"/>
    <s v="22-12-2017"/>
    <x v="26"/>
    <x v="0"/>
    <x v="1"/>
    <n v="2219.48"/>
    <n v="661.61"/>
  </r>
  <r>
    <x v="638"/>
    <s v="20-02-2017"/>
    <x v="7"/>
    <x v="1"/>
    <x v="0"/>
    <n v="4037.6"/>
    <n v="590.79"/>
  </r>
  <r>
    <x v="639"/>
    <s v="12-01-2017"/>
    <x v="19"/>
    <x v="2"/>
    <x v="2"/>
    <n v="3852.72"/>
    <n v="706.03"/>
  </r>
  <r>
    <x v="640"/>
    <s v="02-03-2016"/>
    <x v="16"/>
    <x v="2"/>
    <x v="1"/>
    <n v="1167"/>
    <n v="188.34"/>
  </r>
  <r>
    <x v="641"/>
    <s v="31-07-2018"/>
    <x v="15"/>
    <x v="2"/>
    <x v="0"/>
    <n v="604.21"/>
    <n v="38.82"/>
  </r>
  <r>
    <x v="642"/>
    <s v="21-12-2016"/>
    <x v="24"/>
    <x v="1"/>
    <x v="2"/>
    <n v="2900.97"/>
    <n v="503.59"/>
  </r>
  <r>
    <x v="643"/>
    <s v="18-06-2017"/>
    <x v="17"/>
    <x v="0"/>
    <x v="2"/>
    <n v="3150.7"/>
    <n v="657.11"/>
  </r>
  <r>
    <x v="644"/>
    <s v="14-11-2017"/>
    <x v="29"/>
    <x v="2"/>
    <x v="0"/>
    <n v="2402.2800000000002"/>
    <n v="370.19"/>
  </r>
  <r>
    <x v="645"/>
    <s v="22-01-2017"/>
    <x v="19"/>
    <x v="2"/>
    <x v="2"/>
    <n v="3174.99"/>
    <n v="242.99"/>
  </r>
  <r>
    <x v="646"/>
    <s v="16-05-2018"/>
    <x v="2"/>
    <x v="0"/>
    <x v="2"/>
    <n v="4798.1400000000003"/>
    <n v="581.5"/>
  </r>
  <r>
    <x v="647"/>
    <s v="13-12-2016"/>
    <x v="24"/>
    <x v="1"/>
    <x v="2"/>
    <n v="2915.47"/>
    <n v="247.77"/>
  </r>
  <r>
    <x v="648"/>
    <s v="02-03-2016"/>
    <x v="16"/>
    <x v="2"/>
    <x v="2"/>
    <n v="1147.7"/>
    <n v="325.16000000000003"/>
  </r>
  <r>
    <x v="649"/>
    <s v="07-01-2017"/>
    <x v="19"/>
    <x v="0"/>
    <x v="0"/>
    <n v="1711.26"/>
    <n v="436.3"/>
  </r>
  <r>
    <x v="650"/>
    <s v="22-06-2016"/>
    <x v="30"/>
    <x v="2"/>
    <x v="0"/>
    <n v="4658.24"/>
    <n v="729.92"/>
  </r>
  <r>
    <x v="651"/>
    <s v="10-10-2016"/>
    <x v="25"/>
    <x v="2"/>
    <x v="1"/>
    <n v="338.85"/>
    <n v="68.02"/>
  </r>
  <r>
    <x v="652"/>
    <s v="26-02-2016"/>
    <x v="23"/>
    <x v="3"/>
    <x v="1"/>
    <n v="3082.89"/>
    <n v="897.16"/>
  </r>
  <r>
    <x v="653"/>
    <s v="06-08-2018"/>
    <x v="8"/>
    <x v="0"/>
    <x v="2"/>
    <n v="3634.04"/>
    <n v="1067.3599999999999"/>
  </r>
  <r>
    <x v="654"/>
    <s v="26-01-2017"/>
    <x v="19"/>
    <x v="1"/>
    <x v="2"/>
    <n v="2809.84"/>
    <n v="414.26"/>
  </r>
  <r>
    <x v="655"/>
    <s v="23-02-2016"/>
    <x v="23"/>
    <x v="1"/>
    <x v="2"/>
    <n v="1280.3800000000001"/>
    <n v="321.74"/>
  </r>
  <r>
    <x v="656"/>
    <s v="04-07-2016"/>
    <x v="0"/>
    <x v="1"/>
    <x v="1"/>
    <n v="4844.8"/>
    <n v="813.06"/>
  </r>
  <r>
    <x v="657"/>
    <s v="10-01-2016"/>
    <x v="12"/>
    <x v="2"/>
    <x v="1"/>
    <n v="3843.21"/>
    <n v="224.28"/>
  </r>
  <r>
    <x v="658"/>
    <s v="16-12-2017"/>
    <x v="26"/>
    <x v="0"/>
    <x v="2"/>
    <n v="362.91"/>
    <n v="96.53"/>
  </r>
  <r>
    <x v="659"/>
    <s v="05-03-2018"/>
    <x v="4"/>
    <x v="1"/>
    <x v="0"/>
    <n v="1238.94"/>
    <n v="293.45"/>
  </r>
  <r>
    <x v="660"/>
    <s v="26-12-2017"/>
    <x v="26"/>
    <x v="0"/>
    <x v="1"/>
    <n v="3452.19"/>
    <n v="953.87"/>
  </r>
  <r>
    <x v="661"/>
    <s v="12-11-2016"/>
    <x v="27"/>
    <x v="1"/>
    <x v="2"/>
    <n v="2626.96"/>
    <n v="740.49"/>
  </r>
  <r>
    <x v="662"/>
    <s v="02-05-2017"/>
    <x v="14"/>
    <x v="3"/>
    <x v="2"/>
    <n v="3385.79"/>
    <n v="968.92"/>
  </r>
  <r>
    <x v="663"/>
    <s v="11-01-2017"/>
    <x v="19"/>
    <x v="1"/>
    <x v="2"/>
    <n v="3666.15"/>
    <n v="252.8"/>
  </r>
  <r>
    <x v="664"/>
    <s v="16-07-2017"/>
    <x v="32"/>
    <x v="1"/>
    <x v="2"/>
    <n v="3818.37"/>
    <n v="479.68"/>
  </r>
  <r>
    <x v="665"/>
    <s v="30-05-2018"/>
    <x v="2"/>
    <x v="2"/>
    <x v="2"/>
    <n v="2191.41"/>
    <n v="334.38"/>
  </r>
  <r>
    <x v="666"/>
    <s v="12-08-2018"/>
    <x v="8"/>
    <x v="3"/>
    <x v="2"/>
    <n v="4478.78"/>
    <n v="978.19"/>
  </r>
  <r>
    <x v="667"/>
    <s v="08-03-2018"/>
    <x v="4"/>
    <x v="3"/>
    <x v="1"/>
    <n v="1572.69"/>
    <n v="317.29000000000002"/>
  </r>
  <r>
    <x v="668"/>
    <s v="03-11-2017"/>
    <x v="29"/>
    <x v="2"/>
    <x v="0"/>
    <n v="3147.8"/>
    <n v="419.35"/>
  </r>
  <r>
    <x v="669"/>
    <s v="09-03-2017"/>
    <x v="9"/>
    <x v="2"/>
    <x v="2"/>
    <n v="3723.21"/>
    <n v="224.7"/>
  </r>
  <r>
    <x v="670"/>
    <s v="12-04-2018"/>
    <x v="11"/>
    <x v="1"/>
    <x v="1"/>
    <n v="1637.31"/>
    <n v="138.54"/>
  </r>
  <r>
    <x v="671"/>
    <s v="28-07-2017"/>
    <x v="32"/>
    <x v="0"/>
    <x v="2"/>
    <n v="2266.5700000000002"/>
    <n v="279.27999999999997"/>
  </r>
  <r>
    <x v="672"/>
    <s v="20-01-2018"/>
    <x v="18"/>
    <x v="2"/>
    <x v="0"/>
    <n v="2799.46"/>
    <n v="209.71"/>
  </r>
  <r>
    <x v="673"/>
    <s v="23-06-2017"/>
    <x v="17"/>
    <x v="1"/>
    <x v="2"/>
    <n v="683.26"/>
    <n v="61.51"/>
  </r>
  <r>
    <x v="674"/>
    <s v="02-02-2018"/>
    <x v="5"/>
    <x v="3"/>
    <x v="1"/>
    <n v="701.61"/>
    <n v="146.16999999999999"/>
  </r>
  <r>
    <x v="675"/>
    <s v="09-04-2018"/>
    <x v="11"/>
    <x v="3"/>
    <x v="1"/>
    <n v="766.09"/>
    <n v="187.61"/>
  </r>
  <r>
    <x v="676"/>
    <s v="21-11-2017"/>
    <x v="29"/>
    <x v="0"/>
    <x v="1"/>
    <n v="3096.35"/>
    <n v="349.18"/>
  </r>
  <r>
    <x v="677"/>
    <s v="14-03-2018"/>
    <x v="4"/>
    <x v="1"/>
    <x v="2"/>
    <n v="3830.82"/>
    <n v="1086.76"/>
  </r>
  <r>
    <x v="678"/>
    <s v="19-01-2018"/>
    <x v="18"/>
    <x v="2"/>
    <x v="0"/>
    <n v="4675.5200000000004"/>
    <n v="1318.49"/>
  </r>
  <r>
    <x v="679"/>
    <s v="19-09-2016"/>
    <x v="28"/>
    <x v="2"/>
    <x v="0"/>
    <n v="2302.58"/>
    <n v="123.04"/>
  </r>
  <r>
    <x v="680"/>
    <s v="19-09-2017"/>
    <x v="1"/>
    <x v="2"/>
    <x v="2"/>
    <n v="1325.45"/>
    <n v="162.36000000000001"/>
  </r>
  <r>
    <x v="681"/>
    <s v="03-10-2017"/>
    <x v="10"/>
    <x v="3"/>
    <x v="2"/>
    <n v="2160.75"/>
    <n v="152.94999999999999"/>
  </r>
  <r>
    <x v="682"/>
    <s v="19-09-2017"/>
    <x v="1"/>
    <x v="0"/>
    <x v="0"/>
    <n v="3576.98"/>
    <n v="660.08"/>
  </r>
  <r>
    <x v="683"/>
    <s v="11-04-2017"/>
    <x v="21"/>
    <x v="2"/>
    <x v="0"/>
    <n v="189.11"/>
    <n v="51.65"/>
  </r>
  <r>
    <x v="684"/>
    <s v="18-10-2017"/>
    <x v="10"/>
    <x v="1"/>
    <x v="0"/>
    <n v="2733.09"/>
    <n v="633.67999999999995"/>
  </r>
  <r>
    <x v="685"/>
    <s v="06-04-2018"/>
    <x v="11"/>
    <x v="0"/>
    <x v="2"/>
    <n v="4035.93"/>
    <n v="506.72"/>
  </r>
  <r>
    <x v="686"/>
    <s v="04-05-2016"/>
    <x v="22"/>
    <x v="2"/>
    <x v="0"/>
    <n v="1691.06"/>
    <n v="490.9"/>
  </r>
  <r>
    <x v="687"/>
    <s v="17-10-2017"/>
    <x v="10"/>
    <x v="1"/>
    <x v="2"/>
    <n v="4830"/>
    <n v="738.09"/>
  </r>
  <r>
    <x v="688"/>
    <s v="15-02-2016"/>
    <x v="23"/>
    <x v="0"/>
    <x v="0"/>
    <n v="2904.79"/>
    <n v="684.33"/>
  </r>
  <r>
    <x v="689"/>
    <s v="06-06-2018"/>
    <x v="31"/>
    <x v="2"/>
    <x v="2"/>
    <n v="1001.81"/>
    <n v="161.87"/>
  </r>
  <r>
    <x v="690"/>
    <s v="31-12-2017"/>
    <x v="26"/>
    <x v="0"/>
    <x v="0"/>
    <n v="319.91000000000003"/>
    <n v="57.58"/>
  </r>
  <r>
    <x v="691"/>
    <s v="28-06-2018"/>
    <x v="31"/>
    <x v="3"/>
    <x v="2"/>
    <n v="4299.2700000000004"/>
    <n v="222.31"/>
  </r>
  <r>
    <x v="692"/>
    <s v="11-02-2017"/>
    <x v="7"/>
    <x v="3"/>
    <x v="2"/>
    <n v="223.73"/>
    <n v="37.65"/>
  </r>
  <r>
    <x v="693"/>
    <s v="31-05-2017"/>
    <x v="14"/>
    <x v="0"/>
    <x v="2"/>
    <n v="3442.69"/>
    <n v="1009.07"/>
  </r>
  <r>
    <x v="694"/>
    <s v="03-05-2016"/>
    <x v="22"/>
    <x v="0"/>
    <x v="2"/>
    <n v="1588.62"/>
    <n v="456.2"/>
  </r>
  <r>
    <x v="695"/>
    <s v="08-10-2017"/>
    <x v="10"/>
    <x v="3"/>
    <x v="2"/>
    <n v="2723.8"/>
    <n v="337.34"/>
  </r>
  <r>
    <x v="696"/>
    <s v="24-12-2016"/>
    <x v="24"/>
    <x v="1"/>
    <x v="1"/>
    <n v="2928.24"/>
    <n v="743.5"/>
  </r>
  <r>
    <x v="697"/>
    <s v="19-11-2017"/>
    <x v="29"/>
    <x v="1"/>
    <x v="0"/>
    <n v="2268.06"/>
    <n v="436.57"/>
  </r>
  <r>
    <x v="698"/>
    <s v="16-03-2018"/>
    <x v="4"/>
    <x v="0"/>
    <x v="1"/>
    <n v="4636.7"/>
    <n v="1216.04"/>
  </r>
  <r>
    <x v="699"/>
    <s v="21-09-2016"/>
    <x v="28"/>
    <x v="0"/>
    <x v="2"/>
    <n v="596.28"/>
    <n v="161.75"/>
  </r>
  <r>
    <x v="700"/>
    <s v="29-08-2017"/>
    <x v="3"/>
    <x v="1"/>
    <x v="2"/>
    <n v="4281.75"/>
    <n v="234.1"/>
  </r>
  <r>
    <x v="701"/>
    <s v="16-12-2016"/>
    <x v="24"/>
    <x v="3"/>
    <x v="0"/>
    <n v="4015.47"/>
    <n v="800.54"/>
  </r>
  <r>
    <x v="702"/>
    <s v="11-03-2016"/>
    <x v="16"/>
    <x v="3"/>
    <x v="2"/>
    <n v="1602.64"/>
    <n v="218.42"/>
  </r>
  <r>
    <x v="703"/>
    <s v="06-12-2016"/>
    <x v="24"/>
    <x v="3"/>
    <x v="2"/>
    <n v="2582"/>
    <n v="554.64"/>
  </r>
  <r>
    <x v="704"/>
    <s v="25-03-2018"/>
    <x v="4"/>
    <x v="3"/>
    <x v="0"/>
    <n v="2013.24"/>
    <n v="240.88"/>
  </r>
  <r>
    <x v="705"/>
    <s v="04-07-2017"/>
    <x v="32"/>
    <x v="0"/>
    <x v="0"/>
    <n v="4208.6099999999997"/>
    <n v="345.74"/>
  </r>
  <r>
    <x v="706"/>
    <s v="07-06-2017"/>
    <x v="17"/>
    <x v="2"/>
    <x v="1"/>
    <n v="3051.78"/>
    <n v="644.80999999999995"/>
  </r>
  <r>
    <x v="707"/>
    <s v="29-04-2018"/>
    <x v="11"/>
    <x v="0"/>
    <x v="2"/>
    <n v="712.68"/>
    <n v="55.52"/>
  </r>
  <r>
    <x v="708"/>
    <s v="09-06-2017"/>
    <x v="17"/>
    <x v="3"/>
    <x v="1"/>
    <n v="1493.05"/>
    <n v="244.42"/>
  </r>
  <r>
    <x v="709"/>
    <s v="20-05-2018"/>
    <x v="2"/>
    <x v="3"/>
    <x v="1"/>
    <n v="1105.22"/>
    <n v="140.16999999999999"/>
  </r>
  <r>
    <x v="710"/>
    <s v="23-08-2018"/>
    <x v="8"/>
    <x v="0"/>
    <x v="0"/>
    <n v="335.3"/>
    <n v="76.64"/>
  </r>
  <r>
    <x v="711"/>
    <s v="13-03-2018"/>
    <x v="4"/>
    <x v="1"/>
    <x v="2"/>
    <n v="253.04"/>
    <n v="50"/>
  </r>
  <r>
    <x v="712"/>
    <s v="21-12-2016"/>
    <x v="24"/>
    <x v="3"/>
    <x v="0"/>
    <n v="4868.92"/>
    <n v="287.75"/>
  </r>
  <r>
    <x v="713"/>
    <s v="30-01-2017"/>
    <x v="19"/>
    <x v="0"/>
    <x v="1"/>
    <n v="1839.86"/>
    <n v="509.89"/>
  </r>
  <r>
    <x v="714"/>
    <s v="23-07-2017"/>
    <x v="32"/>
    <x v="3"/>
    <x v="0"/>
    <n v="366.56"/>
    <n v="77.63"/>
  </r>
  <r>
    <x v="715"/>
    <s v="26-06-2017"/>
    <x v="17"/>
    <x v="3"/>
    <x v="0"/>
    <n v="1772.19"/>
    <n v="159.35"/>
  </r>
  <r>
    <x v="716"/>
    <s v="10-05-2017"/>
    <x v="14"/>
    <x v="0"/>
    <x v="2"/>
    <n v="448.16"/>
    <n v="95.56"/>
  </r>
  <r>
    <x v="717"/>
    <s v="26-03-2017"/>
    <x v="9"/>
    <x v="0"/>
    <x v="2"/>
    <n v="276.61"/>
    <n v="25.99"/>
  </r>
  <r>
    <x v="718"/>
    <s v="21-09-2017"/>
    <x v="1"/>
    <x v="2"/>
    <x v="1"/>
    <n v="3535.43"/>
    <n v="400.36"/>
  </r>
  <r>
    <x v="719"/>
    <s v="27-05-2017"/>
    <x v="14"/>
    <x v="3"/>
    <x v="1"/>
    <n v="3442.52"/>
    <n v="1006.59"/>
  </r>
  <r>
    <x v="720"/>
    <s v="24-10-2016"/>
    <x v="25"/>
    <x v="2"/>
    <x v="2"/>
    <n v="208.18"/>
    <n v="29.39"/>
  </r>
  <r>
    <x v="721"/>
    <s v="06-08-2016"/>
    <x v="6"/>
    <x v="1"/>
    <x v="2"/>
    <n v="4000.39"/>
    <n v="376.28"/>
  </r>
  <r>
    <x v="722"/>
    <s v="30-08-2017"/>
    <x v="3"/>
    <x v="1"/>
    <x v="0"/>
    <n v="3979.28"/>
    <n v="700.76"/>
  </r>
  <r>
    <x v="723"/>
    <s v="24-01-2016"/>
    <x v="12"/>
    <x v="0"/>
    <x v="2"/>
    <n v="4651.6899999999996"/>
    <n v="910.05"/>
  </r>
  <r>
    <x v="724"/>
    <s v="02-06-2017"/>
    <x v="17"/>
    <x v="0"/>
    <x v="2"/>
    <n v="4440.8500000000004"/>
    <n v="1286.23"/>
  </r>
  <r>
    <x v="725"/>
    <s v="12-11-2016"/>
    <x v="27"/>
    <x v="1"/>
    <x v="0"/>
    <n v="1571.11"/>
    <n v="156.16999999999999"/>
  </r>
  <r>
    <x v="726"/>
    <s v="31-01-2016"/>
    <x v="12"/>
    <x v="1"/>
    <x v="1"/>
    <n v="4299.3100000000004"/>
    <n v="511.67"/>
  </r>
  <r>
    <x v="727"/>
    <s v="15-01-2016"/>
    <x v="12"/>
    <x v="3"/>
    <x v="0"/>
    <n v="4621.6899999999996"/>
    <n v="405.89"/>
  </r>
  <r>
    <x v="728"/>
    <s v="14-11-2016"/>
    <x v="27"/>
    <x v="0"/>
    <x v="0"/>
    <n v="1479.58"/>
    <n v="157.66"/>
  </r>
  <r>
    <x v="729"/>
    <s v="24-05-2016"/>
    <x v="22"/>
    <x v="3"/>
    <x v="2"/>
    <n v="3846"/>
    <n v="1087.6300000000001"/>
  </r>
  <r>
    <x v="730"/>
    <s v="19-09-2016"/>
    <x v="28"/>
    <x v="2"/>
    <x v="0"/>
    <n v="4887"/>
    <n v="1243.92"/>
  </r>
  <r>
    <x v="731"/>
    <s v="29-09-2016"/>
    <x v="28"/>
    <x v="3"/>
    <x v="0"/>
    <n v="4090.98"/>
    <n v="503.14"/>
  </r>
  <r>
    <x v="732"/>
    <s v="29-12-2016"/>
    <x v="24"/>
    <x v="3"/>
    <x v="1"/>
    <n v="4636.08"/>
    <n v="949.63"/>
  </r>
  <r>
    <x v="733"/>
    <s v="23-12-2017"/>
    <x v="26"/>
    <x v="2"/>
    <x v="2"/>
    <n v="685.14"/>
    <n v="153.55000000000001"/>
  </r>
  <r>
    <x v="734"/>
    <s v="29-02-2016"/>
    <x v="23"/>
    <x v="0"/>
    <x v="0"/>
    <n v="1920.79"/>
    <n v="236.37"/>
  </r>
  <r>
    <x v="735"/>
    <s v="25-06-2018"/>
    <x v="31"/>
    <x v="2"/>
    <x v="1"/>
    <n v="277.24"/>
    <n v="32.57"/>
  </r>
  <r>
    <x v="736"/>
    <s v="17-01-2018"/>
    <x v="18"/>
    <x v="1"/>
    <x v="0"/>
    <n v="2046.19"/>
    <n v="151.97999999999999"/>
  </r>
  <r>
    <x v="737"/>
    <s v="17-03-2016"/>
    <x v="16"/>
    <x v="3"/>
    <x v="0"/>
    <n v="1961.39"/>
    <n v="490.13"/>
  </r>
  <r>
    <x v="738"/>
    <s v="27-09-2017"/>
    <x v="1"/>
    <x v="1"/>
    <x v="2"/>
    <n v="506.24"/>
    <n v="106.84"/>
  </r>
  <r>
    <x v="739"/>
    <s v="28-04-2016"/>
    <x v="13"/>
    <x v="3"/>
    <x v="0"/>
    <n v="2999.46"/>
    <n v="887.27"/>
  </r>
  <r>
    <x v="740"/>
    <s v="12-08-2016"/>
    <x v="6"/>
    <x v="0"/>
    <x v="1"/>
    <n v="1318.46"/>
    <n v="236.58"/>
  </r>
  <r>
    <x v="741"/>
    <s v="27-08-2017"/>
    <x v="3"/>
    <x v="3"/>
    <x v="1"/>
    <n v="2231.7199999999998"/>
    <n v="494.17"/>
  </r>
  <r>
    <x v="742"/>
    <s v="21-11-2016"/>
    <x v="27"/>
    <x v="2"/>
    <x v="0"/>
    <n v="4250.0600000000004"/>
    <n v="740.55"/>
  </r>
  <r>
    <x v="743"/>
    <s v="10-04-2018"/>
    <x v="11"/>
    <x v="3"/>
    <x v="1"/>
    <n v="1853.82"/>
    <n v="440.84"/>
  </r>
  <r>
    <x v="744"/>
    <s v="03-11-2016"/>
    <x v="27"/>
    <x v="0"/>
    <x v="1"/>
    <n v="395.83"/>
    <n v="98.8"/>
  </r>
  <r>
    <x v="745"/>
    <s v="22-11-2016"/>
    <x v="27"/>
    <x v="3"/>
    <x v="1"/>
    <n v="1357.1"/>
    <n v="135.68"/>
  </r>
  <r>
    <x v="746"/>
    <s v="15-02-2018"/>
    <x v="5"/>
    <x v="1"/>
    <x v="1"/>
    <n v="2621.2800000000002"/>
    <n v="225.77"/>
  </r>
  <r>
    <x v="747"/>
    <s v="26-05-2017"/>
    <x v="14"/>
    <x v="3"/>
    <x v="2"/>
    <n v="633.21"/>
    <n v="74.900000000000006"/>
  </r>
  <r>
    <x v="748"/>
    <s v="21-03-2016"/>
    <x v="16"/>
    <x v="3"/>
    <x v="2"/>
    <n v="2182.7199999999998"/>
    <n v="611.08000000000004"/>
  </r>
  <r>
    <x v="749"/>
    <s v="25-05-2016"/>
    <x v="22"/>
    <x v="2"/>
    <x v="2"/>
    <n v="4530.68"/>
    <n v="318.74"/>
  </r>
  <r>
    <x v="750"/>
    <s v="12-02-2018"/>
    <x v="5"/>
    <x v="0"/>
    <x v="0"/>
    <n v="4780.58"/>
    <n v="1314.25"/>
  </r>
  <r>
    <x v="751"/>
    <s v="15-09-2018"/>
    <x v="20"/>
    <x v="3"/>
    <x v="2"/>
    <n v="2612.09"/>
    <n v="429.13"/>
  </r>
  <r>
    <x v="752"/>
    <s v="01-04-2017"/>
    <x v="21"/>
    <x v="2"/>
    <x v="1"/>
    <n v="4144.53"/>
    <n v="1161.1400000000001"/>
  </r>
  <r>
    <x v="753"/>
    <s v="31-01-2018"/>
    <x v="18"/>
    <x v="3"/>
    <x v="2"/>
    <n v="1422.74"/>
    <n v="109.64"/>
  </r>
  <r>
    <x v="754"/>
    <s v="19-11-2017"/>
    <x v="29"/>
    <x v="3"/>
    <x v="1"/>
    <n v="1239.78"/>
    <n v="163.02000000000001"/>
  </r>
  <r>
    <x v="755"/>
    <s v="11-01-2016"/>
    <x v="12"/>
    <x v="3"/>
    <x v="1"/>
    <n v="4441.54"/>
    <n v="262.64"/>
  </r>
  <r>
    <x v="756"/>
    <s v="20-05-2016"/>
    <x v="22"/>
    <x v="3"/>
    <x v="2"/>
    <n v="784.86"/>
    <n v="42.25"/>
  </r>
  <r>
    <x v="757"/>
    <s v="11-12-2017"/>
    <x v="26"/>
    <x v="3"/>
    <x v="0"/>
    <n v="4041.07"/>
    <n v="329.41"/>
  </r>
  <r>
    <x v="758"/>
    <s v="21-07-2017"/>
    <x v="32"/>
    <x v="2"/>
    <x v="1"/>
    <n v="1070.8900000000001"/>
    <n v="63.88"/>
  </r>
  <r>
    <x v="759"/>
    <s v="24-11-2016"/>
    <x v="27"/>
    <x v="0"/>
    <x v="2"/>
    <n v="3918.89"/>
    <n v="1070.18"/>
  </r>
  <r>
    <x v="760"/>
    <s v="28-03-2018"/>
    <x v="4"/>
    <x v="2"/>
    <x v="0"/>
    <n v="3846.62"/>
    <n v="734.33"/>
  </r>
  <r>
    <x v="761"/>
    <s v="15-05-2017"/>
    <x v="14"/>
    <x v="2"/>
    <x v="1"/>
    <n v="4317.57"/>
    <n v="536.92999999999995"/>
  </r>
  <r>
    <x v="762"/>
    <s v="28-05-2016"/>
    <x v="22"/>
    <x v="1"/>
    <x v="1"/>
    <n v="609.92999999999995"/>
    <n v="104.39"/>
  </r>
  <r>
    <x v="763"/>
    <s v="07-06-2018"/>
    <x v="31"/>
    <x v="0"/>
    <x v="2"/>
    <n v="3613.24"/>
    <n v="923.48"/>
  </r>
  <r>
    <x v="764"/>
    <s v="28-03-2018"/>
    <x v="4"/>
    <x v="1"/>
    <x v="1"/>
    <n v="3339.32"/>
    <n v="742.12"/>
  </r>
  <r>
    <x v="765"/>
    <s v="26-01-2016"/>
    <x v="12"/>
    <x v="0"/>
    <x v="2"/>
    <n v="1326.69"/>
    <n v="203.33"/>
  </r>
  <r>
    <x v="766"/>
    <s v="23-08-2017"/>
    <x v="3"/>
    <x v="1"/>
    <x v="1"/>
    <n v="2887.18"/>
    <n v="366.07"/>
  </r>
  <r>
    <x v="767"/>
    <s v="07-03-2016"/>
    <x v="16"/>
    <x v="0"/>
    <x v="1"/>
    <n v="3571.34"/>
    <n v="811.59"/>
  </r>
  <r>
    <x v="768"/>
    <s v="25-01-2018"/>
    <x v="18"/>
    <x v="3"/>
    <x v="1"/>
    <n v="3886.61"/>
    <n v="1129.1099999999999"/>
  </r>
  <r>
    <x v="769"/>
    <s v="09-09-2017"/>
    <x v="1"/>
    <x v="1"/>
    <x v="1"/>
    <n v="3765.48"/>
    <n v="447.98"/>
  </r>
  <r>
    <x v="770"/>
    <s v="18-08-2016"/>
    <x v="6"/>
    <x v="1"/>
    <x v="0"/>
    <n v="4030.01"/>
    <n v="671.63"/>
  </r>
  <r>
    <x v="771"/>
    <s v="23-04-2016"/>
    <x v="13"/>
    <x v="3"/>
    <x v="0"/>
    <n v="1185.46"/>
    <n v="89.23"/>
  </r>
  <r>
    <x v="772"/>
    <s v="30-10-2016"/>
    <x v="25"/>
    <x v="0"/>
    <x v="1"/>
    <n v="2384.34"/>
    <n v="277.45"/>
  </r>
  <r>
    <x v="773"/>
    <s v="23-11-2017"/>
    <x v="29"/>
    <x v="2"/>
    <x v="2"/>
    <n v="126.06"/>
    <n v="35.36"/>
  </r>
  <r>
    <x v="774"/>
    <s v="17-06-2018"/>
    <x v="31"/>
    <x v="3"/>
    <x v="1"/>
    <n v="2916.38"/>
    <n v="173.7"/>
  </r>
  <r>
    <x v="775"/>
    <s v="11-08-2016"/>
    <x v="6"/>
    <x v="0"/>
    <x v="1"/>
    <n v="3436.68"/>
    <n v="918.45"/>
  </r>
  <r>
    <x v="776"/>
    <s v="01-04-2018"/>
    <x v="11"/>
    <x v="3"/>
    <x v="0"/>
    <n v="412.86"/>
    <n v="28.56"/>
  </r>
  <r>
    <x v="777"/>
    <s v="10-05-2018"/>
    <x v="2"/>
    <x v="1"/>
    <x v="0"/>
    <n v="3456.44"/>
    <n v="1019.17"/>
  </r>
  <r>
    <x v="778"/>
    <s v="09-03-2017"/>
    <x v="9"/>
    <x v="1"/>
    <x v="1"/>
    <n v="1514.47"/>
    <n v="356.22"/>
  </r>
  <r>
    <x v="779"/>
    <s v="04-01-2017"/>
    <x v="19"/>
    <x v="0"/>
    <x v="2"/>
    <n v="2859.28"/>
    <n v="214.18"/>
  </r>
  <r>
    <x v="780"/>
    <s v="02-08-2017"/>
    <x v="3"/>
    <x v="0"/>
    <x v="0"/>
    <n v="2769"/>
    <n v="524.30999999999995"/>
  </r>
  <r>
    <x v="781"/>
    <s v="29-11-2016"/>
    <x v="27"/>
    <x v="0"/>
    <x v="1"/>
    <n v="588.25"/>
    <n v="40.409999999999997"/>
  </r>
  <r>
    <x v="782"/>
    <s v="14-11-2016"/>
    <x v="27"/>
    <x v="0"/>
    <x v="0"/>
    <n v="2130.91"/>
    <n v="330.94"/>
  </r>
  <r>
    <x v="783"/>
    <s v="08-02-2016"/>
    <x v="23"/>
    <x v="3"/>
    <x v="0"/>
    <n v="4210.46"/>
    <n v="442.41"/>
  </r>
  <r>
    <x v="784"/>
    <s v="29-12-2016"/>
    <x v="24"/>
    <x v="1"/>
    <x v="1"/>
    <n v="2739.37"/>
    <n v="264.51"/>
  </r>
  <r>
    <x v="785"/>
    <s v="17-02-2018"/>
    <x v="5"/>
    <x v="1"/>
    <x v="1"/>
    <n v="2896.53"/>
    <n v="694.15"/>
  </r>
  <r>
    <x v="786"/>
    <s v="19-03-2017"/>
    <x v="9"/>
    <x v="1"/>
    <x v="0"/>
    <n v="2837.59"/>
    <n v="510.4"/>
  </r>
  <r>
    <x v="787"/>
    <s v="19-07-2018"/>
    <x v="15"/>
    <x v="0"/>
    <x v="1"/>
    <n v="721.26"/>
    <n v="213.38"/>
  </r>
  <r>
    <x v="788"/>
    <s v="11-02-2017"/>
    <x v="7"/>
    <x v="3"/>
    <x v="2"/>
    <n v="3948.78"/>
    <n v="1142.45"/>
  </r>
  <r>
    <x v="789"/>
    <s v="03-04-2018"/>
    <x v="11"/>
    <x v="0"/>
    <x v="2"/>
    <n v="969"/>
    <n v="176.39"/>
  </r>
  <r>
    <x v="790"/>
    <s v="12-12-2016"/>
    <x v="24"/>
    <x v="3"/>
    <x v="1"/>
    <n v="4808.5200000000004"/>
    <n v="699.86"/>
  </r>
  <r>
    <x v="791"/>
    <s v="07-08-2018"/>
    <x v="8"/>
    <x v="0"/>
    <x v="1"/>
    <n v="4435.8599999999997"/>
    <n v="319.81"/>
  </r>
  <r>
    <x v="792"/>
    <s v="10-02-2017"/>
    <x v="7"/>
    <x v="2"/>
    <x v="0"/>
    <n v="408.86"/>
    <n v="105.96"/>
  </r>
  <r>
    <x v="793"/>
    <s v="09-12-2017"/>
    <x v="26"/>
    <x v="0"/>
    <x v="0"/>
    <n v="4900.71"/>
    <n v="401.84"/>
  </r>
  <r>
    <x v="794"/>
    <s v="04-06-2017"/>
    <x v="17"/>
    <x v="1"/>
    <x v="2"/>
    <n v="2184.0100000000002"/>
    <n v="356.16"/>
  </r>
  <r>
    <x v="795"/>
    <s v="15-07-2018"/>
    <x v="15"/>
    <x v="1"/>
    <x v="1"/>
    <n v="3526.01"/>
    <n v="998.26"/>
  </r>
  <r>
    <x v="796"/>
    <s v="30-06-2017"/>
    <x v="17"/>
    <x v="2"/>
    <x v="2"/>
    <n v="1318.77"/>
    <n v="302.27"/>
  </r>
  <r>
    <x v="797"/>
    <s v="01-04-2017"/>
    <x v="21"/>
    <x v="3"/>
    <x v="2"/>
    <n v="232.24"/>
    <n v="51.82"/>
  </r>
  <r>
    <x v="798"/>
    <s v="21-02-2016"/>
    <x v="23"/>
    <x v="1"/>
    <x v="2"/>
    <n v="2790.09"/>
    <n v="205.94"/>
  </r>
  <r>
    <x v="799"/>
    <s v="13-06-2018"/>
    <x v="31"/>
    <x v="1"/>
    <x v="0"/>
    <n v="1367.03"/>
    <n v="315.68"/>
  </r>
  <r>
    <x v="800"/>
    <s v="17-08-2018"/>
    <x v="8"/>
    <x v="0"/>
    <x v="1"/>
    <n v="1477.72"/>
    <n v="206.27"/>
  </r>
  <r>
    <x v="801"/>
    <s v="25-08-2018"/>
    <x v="8"/>
    <x v="2"/>
    <x v="2"/>
    <n v="1010.95"/>
    <n v="213.76"/>
  </r>
  <r>
    <x v="802"/>
    <s v="01-02-2016"/>
    <x v="23"/>
    <x v="1"/>
    <x v="2"/>
    <n v="1543.93"/>
    <n v="191.27"/>
  </r>
  <r>
    <x v="803"/>
    <s v="07-11-2016"/>
    <x v="27"/>
    <x v="3"/>
    <x v="0"/>
    <n v="1673.85"/>
    <n v="372.76"/>
  </r>
  <r>
    <x v="804"/>
    <s v="11-12-2016"/>
    <x v="24"/>
    <x v="3"/>
    <x v="0"/>
    <n v="1091.48"/>
    <n v="260.89999999999998"/>
  </r>
  <r>
    <x v="805"/>
    <s v="24-04-2018"/>
    <x v="11"/>
    <x v="1"/>
    <x v="0"/>
    <n v="4351.13"/>
    <n v="345.35"/>
  </r>
  <r>
    <x v="806"/>
    <s v="18-01-2017"/>
    <x v="19"/>
    <x v="3"/>
    <x v="1"/>
    <n v="4487.88"/>
    <n v="269.27999999999997"/>
  </r>
  <r>
    <x v="807"/>
    <s v="16-11-2017"/>
    <x v="29"/>
    <x v="3"/>
    <x v="1"/>
    <n v="1871.34"/>
    <n v="298.39"/>
  </r>
  <r>
    <x v="808"/>
    <s v="16-05-2017"/>
    <x v="14"/>
    <x v="1"/>
    <x v="1"/>
    <n v="879.75"/>
    <n v="83.78"/>
  </r>
  <r>
    <x v="809"/>
    <s v="14-08-2016"/>
    <x v="6"/>
    <x v="1"/>
    <x v="0"/>
    <n v="395.52"/>
    <n v="81.56"/>
  </r>
  <r>
    <x v="810"/>
    <s v="30-08-2017"/>
    <x v="3"/>
    <x v="0"/>
    <x v="0"/>
    <n v="2038.37"/>
    <n v="360.33"/>
  </r>
  <r>
    <x v="811"/>
    <s v="22-12-2016"/>
    <x v="24"/>
    <x v="1"/>
    <x v="2"/>
    <n v="4871.76"/>
    <n v="725.63"/>
  </r>
  <r>
    <x v="812"/>
    <s v="05-09-2018"/>
    <x v="20"/>
    <x v="2"/>
    <x v="1"/>
    <n v="3274.94"/>
    <n v="504.22"/>
  </r>
  <r>
    <x v="813"/>
    <s v="24-01-2017"/>
    <x v="19"/>
    <x v="3"/>
    <x v="1"/>
    <n v="4844.3599999999997"/>
    <n v="403.04"/>
  </r>
  <r>
    <x v="814"/>
    <s v="24-06-2016"/>
    <x v="30"/>
    <x v="3"/>
    <x v="2"/>
    <n v="4146.78"/>
    <n v="1210.7"/>
  </r>
  <r>
    <x v="815"/>
    <s v="09-06-2018"/>
    <x v="31"/>
    <x v="0"/>
    <x v="1"/>
    <n v="3844.38"/>
    <n v="694.75"/>
  </r>
  <r>
    <x v="816"/>
    <s v="30-04-2016"/>
    <x v="13"/>
    <x v="3"/>
    <x v="1"/>
    <n v="174.47"/>
    <n v="52.23"/>
  </r>
  <r>
    <x v="817"/>
    <s v="16-06-2016"/>
    <x v="30"/>
    <x v="3"/>
    <x v="2"/>
    <n v="4327.83"/>
    <n v="845.35"/>
  </r>
  <r>
    <x v="818"/>
    <s v="05-10-2016"/>
    <x v="25"/>
    <x v="0"/>
    <x v="0"/>
    <n v="2599.79"/>
    <n v="162.12"/>
  </r>
  <r>
    <x v="819"/>
    <s v="18-10-2016"/>
    <x v="25"/>
    <x v="2"/>
    <x v="1"/>
    <n v="4552.6000000000004"/>
    <n v="810.22"/>
  </r>
  <r>
    <x v="820"/>
    <s v="21-04-2017"/>
    <x v="21"/>
    <x v="0"/>
    <x v="0"/>
    <n v="3957.79"/>
    <n v="288.24"/>
  </r>
  <r>
    <x v="821"/>
    <s v="06-07-2016"/>
    <x v="0"/>
    <x v="0"/>
    <x v="2"/>
    <n v="350.07"/>
    <n v="91.54"/>
  </r>
  <r>
    <x v="822"/>
    <s v="08-01-2017"/>
    <x v="19"/>
    <x v="2"/>
    <x v="0"/>
    <n v="754.89"/>
    <n v="217.13"/>
  </r>
  <r>
    <x v="823"/>
    <s v="15-12-2016"/>
    <x v="24"/>
    <x v="0"/>
    <x v="0"/>
    <n v="1198.01"/>
    <n v="117.89"/>
  </r>
  <r>
    <x v="824"/>
    <s v="04-09-2016"/>
    <x v="28"/>
    <x v="3"/>
    <x v="0"/>
    <n v="3202.76"/>
    <n v="161.04"/>
  </r>
  <r>
    <x v="825"/>
    <s v="27-02-2017"/>
    <x v="7"/>
    <x v="0"/>
    <x v="2"/>
    <n v="2642.55"/>
    <n v="325.68"/>
  </r>
  <r>
    <x v="826"/>
    <s v="09-04-2018"/>
    <x v="11"/>
    <x v="2"/>
    <x v="0"/>
    <n v="4783.0200000000004"/>
    <n v="653.26"/>
  </r>
  <r>
    <x v="827"/>
    <s v="29-09-2017"/>
    <x v="1"/>
    <x v="0"/>
    <x v="0"/>
    <n v="3599.38"/>
    <n v="404.3"/>
  </r>
  <r>
    <x v="828"/>
    <s v="01-02-2016"/>
    <x v="23"/>
    <x v="2"/>
    <x v="0"/>
    <n v="3737.35"/>
    <n v="866.88"/>
  </r>
  <r>
    <x v="829"/>
    <s v="31-10-2017"/>
    <x v="10"/>
    <x v="2"/>
    <x v="2"/>
    <n v="307.61"/>
    <n v="89.04"/>
  </r>
  <r>
    <x v="830"/>
    <s v="10-07-2018"/>
    <x v="15"/>
    <x v="3"/>
    <x v="1"/>
    <n v="1089.42"/>
    <n v="310.57"/>
  </r>
  <r>
    <x v="831"/>
    <s v="09-05-2018"/>
    <x v="2"/>
    <x v="2"/>
    <x v="2"/>
    <n v="4730.5600000000004"/>
    <n v="257.52"/>
  </r>
  <r>
    <x v="832"/>
    <s v="05-02-2017"/>
    <x v="7"/>
    <x v="2"/>
    <x v="0"/>
    <n v="4680.9399999999996"/>
    <n v="804.15"/>
  </r>
  <r>
    <x v="833"/>
    <s v="03-12-2016"/>
    <x v="24"/>
    <x v="1"/>
    <x v="0"/>
    <n v="552.24"/>
    <n v="62.96"/>
  </r>
  <r>
    <x v="834"/>
    <s v="11-03-2018"/>
    <x v="4"/>
    <x v="2"/>
    <x v="1"/>
    <n v="4186.9399999999996"/>
    <n v="738.66"/>
  </r>
  <r>
    <x v="835"/>
    <s v="19-06-2017"/>
    <x v="17"/>
    <x v="3"/>
    <x v="1"/>
    <n v="3425.97"/>
    <n v="632.82000000000005"/>
  </r>
  <r>
    <x v="836"/>
    <s v="09-03-2017"/>
    <x v="9"/>
    <x v="0"/>
    <x v="1"/>
    <n v="3851.14"/>
    <n v="657.82"/>
  </r>
  <r>
    <x v="837"/>
    <s v="14-05-2016"/>
    <x v="22"/>
    <x v="3"/>
    <x v="2"/>
    <n v="3387.44"/>
    <n v="351.5"/>
  </r>
  <r>
    <x v="838"/>
    <s v="06-08-2016"/>
    <x v="6"/>
    <x v="0"/>
    <x v="2"/>
    <n v="3183.38"/>
    <n v="308.14999999999998"/>
  </r>
  <r>
    <x v="839"/>
    <s v="12-09-2016"/>
    <x v="28"/>
    <x v="0"/>
    <x v="2"/>
    <n v="2922.3"/>
    <n v="575.1"/>
  </r>
  <r>
    <x v="840"/>
    <s v="31-05-2018"/>
    <x v="2"/>
    <x v="2"/>
    <x v="2"/>
    <n v="665.04"/>
    <n v="163.68"/>
  </r>
  <r>
    <x v="841"/>
    <s v="17-01-2017"/>
    <x v="19"/>
    <x v="1"/>
    <x v="0"/>
    <n v="266.61"/>
    <n v="22.5"/>
  </r>
  <r>
    <x v="842"/>
    <s v="13-12-2016"/>
    <x v="24"/>
    <x v="0"/>
    <x v="2"/>
    <n v="583.39"/>
    <n v="45.39"/>
  </r>
  <r>
    <x v="843"/>
    <s v="26-02-2018"/>
    <x v="5"/>
    <x v="2"/>
    <x v="1"/>
    <n v="1868.79"/>
    <n v="455.55"/>
  </r>
  <r>
    <x v="844"/>
    <s v="23-06-2016"/>
    <x v="30"/>
    <x v="0"/>
    <x v="2"/>
    <n v="3981.11"/>
    <n v="704.85"/>
  </r>
  <r>
    <x v="845"/>
    <s v="10-05-2018"/>
    <x v="2"/>
    <x v="0"/>
    <x v="2"/>
    <n v="1254.53"/>
    <n v="307.08999999999997"/>
  </r>
  <r>
    <x v="846"/>
    <s v="29-06-2018"/>
    <x v="31"/>
    <x v="3"/>
    <x v="0"/>
    <n v="4843.7299999999996"/>
    <n v="1152.57"/>
  </r>
  <r>
    <x v="847"/>
    <s v="19-02-2016"/>
    <x v="23"/>
    <x v="1"/>
    <x v="0"/>
    <n v="2743.13"/>
    <n v="760.57"/>
  </r>
  <r>
    <x v="848"/>
    <s v="02-05-2018"/>
    <x v="2"/>
    <x v="0"/>
    <x v="2"/>
    <n v="4065.9"/>
    <n v="514.69000000000005"/>
  </r>
  <r>
    <x v="849"/>
    <s v="05-10-2017"/>
    <x v="10"/>
    <x v="0"/>
    <x v="2"/>
    <n v="3510.62"/>
    <n v="176.79"/>
  </r>
  <r>
    <x v="850"/>
    <s v="21-04-2018"/>
    <x v="11"/>
    <x v="2"/>
    <x v="1"/>
    <n v="2483.4499999999998"/>
    <n v="414.68"/>
  </r>
  <r>
    <x v="851"/>
    <s v="21-07-2017"/>
    <x v="32"/>
    <x v="1"/>
    <x v="1"/>
    <n v="4744.18"/>
    <n v="385.91"/>
  </r>
  <r>
    <x v="852"/>
    <s v="09-08-2018"/>
    <x v="8"/>
    <x v="3"/>
    <x v="2"/>
    <n v="2256.0500000000002"/>
    <n v="537.26"/>
  </r>
  <r>
    <x v="853"/>
    <s v="29-09-2016"/>
    <x v="28"/>
    <x v="1"/>
    <x v="2"/>
    <n v="1384.35"/>
    <n v="180.5"/>
  </r>
  <r>
    <x v="854"/>
    <s v="22-11-2017"/>
    <x v="29"/>
    <x v="0"/>
    <x v="2"/>
    <n v="1708.04"/>
    <n v="326.66000000000003"/>
  </r>
  <r>
    <x v="855"/>
    <s v="21-05-2016"/>
    <x v="22"/>
    <x v="1"/>
    <x v="2"/>
    <n v="3128.46"/>
    <n v="724.26"/>
  </r>
  <r>
    <x v="856"/>
    <s v="30-06-2017"/>
    <x v="17"/>
    <x v="2"/>
    <x v="1"/>
    <n v="2896.76"/>
    <n v="657.55"/>
  </r>
  <r>
    <x v="857"/>
    <s v="07-07-2016"/>
    <x v="0"/>
    <x v="3"/>
    <x v="0"/>
    <n v="2562.85"/>
    <n v="325.87"/>
  </r>
  <r>
    <x v="858"/>
    <s v="16-09-2017"/>
    <x v="1"/>
    <x v="3"/>
    <x v="1"/>
    <n v="513.09"/>
    <n v="41.3"/>
  </r>
  <r>
    <x v="859"/>
    <s v="24-02-2018"/>
    <x v="5"/>
    <x v="1"/>
    <x v="1"/>
    <n v="2410.0700000000002"/>
    <n v="717.65"/>
  </r>
  <r>
    <x v="860"/>
    <s v="16-06-2016"/>
    <x v="30"/>
    <x v="1"/>
    <x v="2"/>
    <n v="2022.8"/>
    <n v="166.02"/>
  </r>
  <r>
    <x v="861"/>
    <s v="08-03-2017"/>
    <x v="9"/>
    <x v="1"/>
    <x v="1"/>
    <n v="930.64"/>
    <n v="160.1"/>
  </r>
  <r>
    <x v="862"/>
    <s v="12-12-2016"/>
    <x v="24"/>
    <x v="0"/>
    <x v="0"/>
    <n v="2866.25"/>
    <n v="466.43"/>
  </r>
  <r>
    <x v="863"/>
    <s v="03-05-2018"/>
    <x v="2"/>
    <x v="1"/>
    <x v="0"/>
    <n v="2435.59"/>
    <n v="191.72"/>
  </r>
  <r>
    <x v="864"/>
    <s v="19-03-2016"/>
    <x v="16"/>
    <x v="2"/>
    <x v="1"/>
    <n v="3963.81"/>
    <n v="490.33"/>
  </r>
  <r>
    <x v="865"/>
    <s v="30-05-2016"/>
    <x v="22"/>
    <x v="0"/>
    <x v="0"/>
    <n v="992.95"/>
    <n v="150.55000000000001"/>
  </r>
  <r>
    <x v="866"/>
    <s v="05-01-2016"/>
    <x v="12"/>
    <x v="0"/>
    <x v="0"/>
    <n v="114.39"/>
    <n v="9.92"/>
  </r>
  <r>
    <x v="867"/>
    <s v="11-02-2016"/>
    <x v="23"/>
    <x v="3"/>
    <x v="0"/>
    <n v="1751.16"/>
    <n v="150.13999999999999"/>
  </r>
  <r>
    <x v="868"/>
    <s v="16-12-2017"/>
    <x v="26"/>
    <x v="0"/>
    <x v="2"/>
    <n v="1994.31"/>
    <n v="182.75"/>
  </r>
  <r>
    <x v="869"/>
    <s v="23-06-2018"/>
    <x v="31"/>
    <x v="1"/>
    <x v="2"/>
    <n v="3792.27"/>
    <n v="266.27999999999997"/>
  </r>
  <r>
    <x v="870"/>
    <s v="26-12-2017"/>
    <x v="26"/>
    <x v="1"/>
    <x v="2"/>
    <n v="3086.79"/>
    <n v="385.58"/>
  </r>
  <r>
    <x v="871"/>
    <s v="08-01-2016"/>
    <x v="12"/>
    <x v="2"/>
    <x v="0"/>
    <n v="4250.75"/>
    <n v="700.76"/>
  </r>
  <r>
    <x v="872"/>
    <s v="30-04-2017"/>
    <x v="21"/>
    <x v="3"/>
    <x v="1"/>
    <n v="1098.94"/>
    <n v="202.93"/>
  </r>
  <r>
    <x v="873"/>
    <s v="06-06-2016"/>
    <x v="30"/>
    <x v="2"/>
    <x v="2"/>
    <n v="4326.4399999999996"/>
    <n v="942.19"/>
  </r>
  <r>
    <x v="874"/>
    <s v="03-06-2018"/>
    <x v="31"/>
    <x v="1"/>
    <x v="0"/>
    <n v="2111.4699999999998"/>
    <n v="488.39"/>
  </r>
  <r>
    <x v="875"/>
    <s v="20-04-2016"/>
    <x v="13"/>
    <x v="2"/>
    <x v="1"/>
    <n v="3917.35"/>
    <n v="282.2"/>
  </r>
  <r>
    <x v="876"/>
    <s v="22-02-2016"/>
    <x v="23"/>
    <x v="2"/>
    <x v="2"/>
    <n v="2396.9299999999998"/>
    <n v="473.4"/>
  </r>
  <r>
    <x v="877"/>
    <s v="16-09-2016"/>
    <x v="28"/>
    <x v="3"/>
    <x v="0"/>
    <n v="4319.93"/>
    <n v="527.20000000000005"/>
  </r>
  <r>
    <x v="878"/>
    <s v="12-08-2016"/>
    <x v="6"/>
    <x v="3"/>
    <x v="1"/>
    <n v="4254.8500000000004"/>
    <n v="965.49"/>
  </r>
  <r>
    <x v="879"/>
    <s v="09-06-2018"/>
    <x v="31"/>
    <x v="1"/>
    <x v="0"/>
    <n v="4873.96"/>
    <n v="483.37"/>
  </r>
  <r>
    <x v="880"/>
    <s v="13-08-2016"/>
    <x v="6"/>
    <x v="0"/>
    <x v="1"/>
    <n v="1457.57"/>
    <n v="123.49"/>
  </r>
  <r>
    <x v="881"/>
    <s v="26-10-2017"/>
    <x v="10"/>
    <x v="0"/>
    <x v="0"/>
    <n v="4706.95"/>
    <n v="1263.69"/>
  </r>
  <r>
    <x v="882"/>
    <s v="01-08-2018"/>
    <x v="8"/>
    <x v="3"/>
    <x v="1"/>
    <n v="3666.64"/>
    <n v="431.07"/>
  </r>
  <r>
    <x v="883"/>
    <s v="06-11-2016"/>
    <x v="27"/>
    <x v="2"/>
    <x v="2"/>
    <n v="3439.84"/>
    <n v="865.9"/>
  </r>
  <r>
    <x v="884"/>
    <s v="08-12-2017"/>
    <x v="26"/>
    <x v="1"/>
    <x v="2"/>
    <n v="349.97"/>
    <n v="91.37"/>
  </r>
  <r>
    <x v="885"/>
    <s v="17-04-2016"/>
    <x v="13"/>
    <x v="0"/>
    <x v="0"/>
    <n v="2418.81"/>
    <n v="282.60000000000002"/>
  </r>
  <r>
    <x v="886"/>
    <s v="01-09-2017"/>
    <x v="1"/>
    <x v="3"/>
    <x v="1"/>
    <n v="1678"/>
    <n v="398.02"/>
  </r>
  <r>
    <x v="887"/>
    <s v="10-05-2016"/>
    <x v="22"/>
    <x v="0"/>
    <x v="1"/>
    <n v="1560.4"/>
    <n v="267.72000000000003"/>
  </r>
  <r>
    <x v="888"/>
    <s v="06-09-2017"/>
    <x v="1"/>
    <x v="2"/>
    <x v="1"/>
    <n v="3501.9"/>
    <n v="414.03"/>
  </r>
  <r>
    <x v="889"/>
    <s v="21-08-2018"/>
    <x v="8"/>
    <x v="2"/>
    <x v="2"/>
    <n v="3208.6"/>
    <n v="642.95000000000005"/>
  </r>
  <r>
    <x v="890"/>
    <s v="11-09-2017"/>
    <x v="1"/>
    <x v="0"/>
    <x v="1"/>
    <n v="4467.97"/>
    <n v="1258.73"/>
  </r>
  <r>
    <x v="891"/>
    <s v="16-12-2017"/>
    <x v="26"/>
    <x v="0"/>
    <x v="1"/>
    <n v="785.03"/>
    <n v="132.21"/>
  </r>
  <r>
    <x v="892"/>
    <s v="03-01-2018"/>
    <x v="18"/>
    <x v="2"/>
    <x v="2"/>
    <n v="2379.79"/>
    <n v="176.93"/>
  </r>
  <r>
    <x v="893"/>
    <s v="12-05-2016"/>
    <x v="22"/>
    <x v="1"/>
    <x v="1"/>
    <n v="3200.69"/>
    <n v="951.87"/>
  </r>
  <r>
    <x v="894"/>
    <s v="24-08-2017"/>
    <x v="3"/>
    <x v="2"/>
    <x v="0"/>
    <n v="324.74"/>
    <n v="63.75"/>
  </r>
  <r>
    <x v="895"/>
    <s v="13-06-2018"/>
    <x v="31"/>
    <x v="3"/>
    <x v="0"/>
    <n v="4158.12"/>
    <n v="1165.44"/>
  </r>
  <r>
    <x v="896"/>
    <s v="14-08-2017"/>
    <x v="3"/>
    <x v="1"/>
    <x v="0"/>
    <n v="1561.54"/>
    <n v="200.86"/>
  </r>
  <r>
    <x v="897"/>
    <s v="01-05-2017"/>
    <x v="14"/>
    <x v="3"/>
    <x v="1"/>
    <n v="787.99"/>
    <n v="168.22"/>
  </r>
  <r>
    <x v="898"/>
    <s v="16-08-2017"/>
    <x v="3"/>
    <x v="1"/>
    <x v="2"/>
    <n v="2805.2"/>
    <n v="830.62"/>
  </r>
  <r>
    <x v="899"/>
    <s v="12-01-2018"/>
    <x v="18"/>
    <x v="3"/>
    <x v="0"/>
    <n v="434.48"/>
    <n v="43.09"/>
  </r>
  <r>
    <x v="900"/>
    <s v="10-07-2017"/>
    <x v="32"/>
    <x v="0"/>
    <x v="2"/>
    <n v="4140.84"/>
    <n v="1033.81"/>
  </r>
  <r>
    <x v="901"/>
    <s v="02-06-2016"/>
    <x v="30"/>
    <x v="0"/>
    <x v="2"/>
    <n v="1895.16"/>
    <n v="396.17"/>
  </r>
  <r>
    <x v="902"/>
    <s v="28-08-2016"/>
    <x v="6"/>
    <x v="3"/>
    <x v="1"/>
    <n v="1149.98"/>
    <n v="302.05"/>
  </r>
  <r>
    <x v="903"/>
    <s v="02-05-2018"/>
    <x v="2"/>
    <x v="2"/>
    <x v="1"/>
    <n v="1538.5"/>
    <n v="232.74"/>
  </r>
  <r>
    <x v="904"/>
    <s v="18-07-2018"/>
    <x v="15"/>
    <x v="0"/>
    <x v="0"/>
    <n v="2607.2399999999998"/>
    <n v="399.71"/>
  </r>
  <r>
    <x v="905"/>
    <s v="25-09-2016"/>
    <x v="28"/>
    <x v="3"/>
    <x v="1"/>
    <n v="461.31"/>
    <n v="24.06"/>
  </r>
  <r>
    <x v="906"/>
    <s v="24-07-2018"/>
    <x v="15"/>
    <x v="2"/>
    <x v="1"/>
    <n v="2247.09"/>
    <n v="355.11"/>
  </r>
  <r>
    <x v="907"/>
    <s v="23-01-2018"/>
    <x v="18"/>
    <x v="3"/>
    <x v="1"/>
    <n v="2337.13"/>
    <n v="699.89"/>
  </r>
  <r>
    <x v="908"/>
    <s v="11-02-2018"/>
    <x v="5"/>
    <x v="0"/>
    <x v="0"/>
    <n v="390.65"/>
    <n v="116.59"/>
  </r>
  <r>
    <x v="909"/>
    <s v="28-07-2017"/>
    <x v="32"/>
    <x v="3"/>
    <x v="0"/>
    <n v="652.19000000000005"/>
    <n v="50.45"/>
  </r>
  <r>
    <x v="910"/>
    <s v="29-02-2016"/>
    <x v="23"/>
    <x v="0"/>
    <x v="1"/>
    <n v="1673.01"/>
    <n v="253.89"/>
  </r>
  <r>
    <x v="911"/>
    <s v="19-08-2018"/>
    <x v="8"/>
    <x v="3"/>
    <x v="1"/>
    <n v="917.83"/>
    <n v="209"/>
  </r>
  <r>
    <x v="912"/>
    <s v="08-05-2016"/>
    <x v="22"/>
    <x v="0"/>
    <x v="2"/>
    <n v="199.14"/>
    <n v="27.39"/>
  </r>
  <r>
    <x v="913"/>
    <s v="12-08-2016"/>
    <x v="6"/>
    <x v="2"/>
    <x v="1"/>
    <n v="748.06"/>
    <n v="101.66"/>
  </r>
  <r>
    <x v="914"/>
    <s v="29-07-2018"/>
    <x v="15"/>
    <x v="3"/>
    <x v="1"/>
    <n v="871.3"/>
    <n v="66.59"/>
  </r>
  <r>
    <x v="915"/>
    <s v="13-07-2017"/>
    <x v="32"/>
    <x v="0"/>
    <x v="0"/>
    <n v="4335.68"/>
    <n v="343.42"/>
  </r>
  <r>
    <x v="916"/>
    <s v="03-09-2016"/>
    <x v="28"/>
    <x v="1"/>
    <x v="2"/>
    <n v="2460.61"/>
    <n v="440.85"/>
  </r>
  <r>
    <x v="917"/>
    <s v="11-03-2018"/>
    <x v="4"/>
    <x v="3"/>
    <x v="0"/>
    <n v="4260.8599999999997"/>
    <n v="755.8"/>
  </r>
  <r>
    <x v="918"/>
    <s v="05-05-2016"/>
    <x v="22"/>
    <x v="2"/>
    <x v="0"/>
    <n v="1416.92"/>
    <n v="161.88"/>
  </r>
  <r>
    <x v="919"/>
    <s v="14-09-2016"/>
    <x v="28"/>
    <x v="1"/>
    <x v="1"/>
    <n v="2903.79"/>
    <n v="572.76"/>
  </r>
  <r>
    <x v="920"/>
    <s v="18-04-2017"/>
    <x v="21"/>
    <x v="1"/>
    <x v="0"/>
    <n v="4832.92"/>
    <n v="642.96"/>
  </r>
  <r>
    <x v="921"/>
    <s v="04-02-2017"/>
    <x v="7"/>
    <x v="2"/>
    <x v="0"/>
    <n v="1233.8699999999999"/>
    <n v="309.27999999999997"/>
  </r>
  <r>
    <x v="922"/>
    <s v="09-04-2016"/>
    <x v="13"/>
    <x v="1"/>
    <x v="1"/>
    <n v="863.32"/>
    <n v="88.46"/>
  </r>
  <r>
    <x v="923"/>
    <s v="04-05-2018"/>
    <x v="2"/>
    <x v="1"/>
    <x v="0"/>
    <n v="3922.88"/>
    <n v="201.13"/>
  </r>
  <r>
    <x v="924"/>
    <s v="27-09-2018"/>
    <x v="20"/>
    <x v="2"/>
    <x v="0"/>
    <n v="1689.01"/>
    <n v="198.72"/>
  </r>
  <r>
    <x v="925"/>
    <s v="18-07-2016"/>
    <x v="0"/>
    <x v="0"/>
    <x v="0"/>
    <n v="3603.36"/>
    <n v="458.31"/>
  </r>
  <r>
    <x v="926"/>
    <s v="12-07-2018"/>
    <x v="15"/>
    <x v="3"/>
    <x v="2"/>
    <n v="3628.71"/>
    <n v="897.55"/>
  </r>
  <r>
    <x v="927"/>
    <s v="10-02-2017"/>
    <x v="7"/>
    <x v="0"/>
    <x v="2"/>
    <n v="2596.31"/>
    <n v="424.46"/>
  </r>
  <r>
    <x v="928"/>
    <s v="01-09-2017"/>
    <x v="1"/>
    <x v="3"/>
    <x v="0"/>
    <n v="3689.28"/>
    <n v="749.91"/>
  </r>
  <r>
    <x v="929"/>
    <s v="08-03-2018"/>
    <x v="4"/>
    <x v="2"/>
    <x v="0"/>
    <n v="701.84"/>
    <n v="119.19"/>
  </r>
  <r>
    <x v="930"/>
    <s v="20-09-2017"/>
    <x v="1"/>
    <x v="2"/>
    <x v="2"/>
    <n v="1370.02"/>
    <n v="380.18"/>
  </r>
  <r>
    <x v="931"/>
    <s v="05-07-2017"/>
    <x v="32"/>
    <x v="0"/>
    <x v="2"/>
    <n v="2180.4299999999998"/>
    <n v="195.22"/>
  </r>
  <r>
    <x v="932"/>
    <s v="22-02-2016"/>
    <x v="23"/>
    <x v="0"/>
    <x v="2"/>
    <n v="1670.27"/>
    <n v="337.73"/>
  </r>
  <r>
    <x v="933"/>
    <s v="23-05-2018"/>
    <x v="2"/>
    <x v="0"/>
    <x v="1"/>
    <n v="4529.05"/>
    <n v="1082.8699999999999"/>
  </r>
  <r>
    <x v="934"/>
    <s v="26-09-2017"/>
    <x v="1"/>
    <x v="3"/>
    <x v="2"/>
    <n v="1138.6400000000001"/>
    <n v="265.73"/>
  </r>
  <r>
    <x v="935"/>
    <s v="03-05-2017"/>
    <x v="14"/>
    <x v="0"/>
    <x v="0"/>
    <n v="4011.72"/>
    <n v="645.46"/>
  </r>
  <r>
    <x v="936"/>
    <s v="25-09-2017"/>
    <x v="1"/>
    <x v="2"/>
    <x v="0"/>
    <n v="3985.84"/>
    <n v="950.69"/>
  </r>
  <r>
    <x v="937"/>
    <s v="27-12-2017"/>
    <x v="26"/>
    <x v="2"/>
    <x v="0"/>
    <n v="1342.93"/>
    <n v="310.83999999999997"/>
  </r>
  <r>
    <x v="938"/>
    <s v="16-01-2017"/>
    <x v="19"/>
    <x v="3"/>
    <x v="0"/>
    <n v="1609.43"/>
    <n v="112.68"/>
  </r>
  <r>
    <x v="939"/>
    <s v="20-12-2016"/>
    <x v="24"/>
    <x v="3"/>
    <x v="1"/>
    <n v="2082.5500000000002"/>
    <n v="108.02"/>
  </r>
  <r>
    <x v="940"/>
    <s v="23-12-2016"/>
    <x v="24"/>
    <x v="1"/>
    <x v="1"/>
    <n v="525.98"/>
    <n v="98.92"/>
  </r>
  <r>
    <x v="941"/>
    <s v="26-03-2016"/>
    <x v="16"/>
    <x v="2"/>
    <x v="1"/>
    <n v="4170.92"/>
    <n v="1042.25"/>
  </r>
  <r>
    <x v="942"/>
    <s v="13-06-2017"/>
    <x v="17"/>
    <x v="3"/>
    <x v="1"/>
    <n v="1655.54"/>
    <n v="391.39"/>
  </r>
  <r>
    <x v="943"/>
    <s v="22-04-2017"/>
    <x v="21"/>
    <x v="0"/>
    <x v="2"/>
    <n v="4464.8599999999997"/>
    <n v="310.86"/>
  </r>
  <r>
    <x v="944"/>
    <s v="06-06-2016"/>
    <x v="30"/>
    <x v="1"/>
    <x v="2"/>
    <n v="4031.61"/>
    <n v="424.63"/>
  </r>
  <r>
    <x v="945"/>
    <s v="26-05-2017"/>
    <x v="14"/>
    <x v="0"/>
    <x v="0"/>
    <n v="4447.45"/>
    <n v="1158.1199999999999"/>
  </r>
  <r>
    <x v="946"/>
    <s v="23-04-2018"/>
    <x v="11"/>
    <x v="3"/>
    <x v="1"/>
    <n v="630.80999999999995"/>
    <n v="117.89"/>
  </r>
  <r>
    <x v="947"/>
    <s v="02-05-2018"/>
    <x v="2"/>
    <x v="1"/>
    <x v="0"/>
    <n v="2931.16"/>
    <n v="590.66"/>
  </r>
  <r>
    <x v="948"/>
    <s v="04-01-2017"/>
    <x v="19"/>
    <x v="0"/>
    <x v="0"/>
    <n v="2817.19"/>
    <n v="671.64"/>
  </r>
  <r>
    <x v="949"/>
    <s v="18-10-2017"/>
    <x v="10"/>
    <x v="1"/>
    <x v="1"/>
    <n v="2815.29"/>
    <n v="674.63"/>
  </r>
  <r>
    <x v="950"/>
    <s v="19-06-2018"/>
    <x v="31"/>
    <x v="1"/>
    <x v="1"/>
    <n v="3731.6"/>
    <n v="374.14"/>
  </r>
  <r>
    <x v="951"/>
    <s v="19-03-2017"/>
    <x v="9"/>
    <x v="2"/>
    <x v="0"/>
    <n v="898.41"/>
    <n v="122.75"/>
  </r>
  <r>
    <x v="952"/>
    <s v="19-11-2017"/>
    <x v="29"/>
    <x v="3"/>
    <x v="0"/>
    <n v="1827.26"/>
    <n v="245.83"/>
  </r>
  <r>
    <x v="953"/>
    <s v="11-01-2018"/>
    <x v="18"/>
    <x v="1"/>
    <x v="1"/>
    <n v="166.7"/>
    <n v="44.68"/>
  </r>
  <r>
    <x v="954"/>
    <s v="07-06-2017"/>
    <x v="17"/>
    <x v="1"/>
    <x v="0"/>
    <n v="988.37"/>
    <n v="263.29000000000002"/>
  </r>
  <r>
    <x v="955"/>
    <s v="17-02-2016"/>
    <x v="23"/>
    <x v="0"/>
    <x v="0"/>
    <n v="1420.08"/>
    <n v="217.94"/>
  </r>
  <r>
    <x v="956"/>
    <s v="25-03-2018"/>
    <x v="4"/>
    <x v="3"/>
    <x v="1"/>
    <n v="2485.8000000000002"/>
    <n v="335.08"/>
  </r>
  <r>
    <x v="957"/>
    <s v="03-08-2016"/>
    <x v="6"/>
    <x v="2"/>
    <x v="0"/>
    <n v="3550.43"/>
    <n v="895.79"/>
  </r>
  <r>
    <x v="958"/>
    <s v="21-11-2016"/>
    <x v="27"/>
    <x v="1"/>
    <x v="0"/>
    <n v="1431.39"/>
    <n v="218.47"/>
  </r>
  <r>
    <x v="959"/>
    <s v="05-01-2017"/>
    <x v="19"/>
    <x v="1"/>
    <x v="0"/>
    <n v="2971.4"/>
    <n v="295.55"/>
  </r>
  <r>
    <x v="960"/>
    <s v="04-04-2017"/>
    <x v="21"/>
    <x v="2"/>
    <x v="1"/>
    <n v="3380.08"/>
    <n v="349.1"/>
  </r>
  <r>
    <x v="961"/>
    <s v="03-08-2018"/>
    <x v="8"/>
    <x v="0"/>
    <x v="2"/>
    <n v="298.31"/>
    <n v="52.99"/>
  </r>
  <r>
    <x v="962"/>
    <s v="25-02-2018"/>
    <x v="5"/>
    <x v="0"/>
    <x v="1"/>
    <n v="437.04"/>
    <n v="72.62"/>
  </r>
  <r>
    <x v="963"/>
    <s v="22-03-2017"/>
    <x v="9"/>
    <x v="2"/>
    <x v="0"/>
    <n v="247.61"/>
    <n v="33.56"/>
  </r>
  <r>
    <x v="964"/>
    <s v="28-04-2018"/>
    <x v="11"/>
    <x v="1"/>
    <x v="2"/>
    <n v="4269.93"/>
    <n v="386.22"/>
  </r>
  <r>
    <x v="965"/>
    <s v="01-12-2016"/>
    <x v="24"/>
    <x v="3"/>
    <x v="1"/>
    <n v="4927.18"/>
    <n v="509.07"/>
  </r>
  <r>
    <x v="966"/>
    <s v="08-07-2017"/>
    <x v="32"/>
    <x v="1"/>
    <x v="1"/>
    <n v="274.85000000000002"/>
    <n v="23.86"/>
  </r>
  <r>
    <x v="967"/>
    <s v="10-07-2018"/>
    <x v="15"/>
    <x v="2"/>
    <x v="1"/>
    <n v="4857.71"/>
    <n v="1394.38"/>
  </r>
  <r>
    <x v="968"/>
    <s v="13-12-2016"/>
    <x v="24"/>
    <x v="2"/>
    <x v="0"/>
    <n v="3467.81"/>
    <n v="593.73"/>
  </r>
  <r>
    <x v="969"/>
    <s v="10-10-2016"/>
    <x v="25"/>
    <x v="3"/>
    <x v="0"/>
    <n v="3986.83"/>
    <n v="623.07000000000005"/>
  </r>
  <r>
    <x v="970"/>
    <s v="29-08-2018"/>
    <x v="8"/>
    <x v="0"/>
    <x v="2"/>
    <n v="1448.33"/>
    <n v="342.59"/>
  </r>
  <r>
    <x v="971"/>
    <s v="06-12-2017"/>
    <x v="26"/>
    <x v="1"/>
    <x v="0"/>
    <n v="686.07"/>
    <n v="129.03"/>
  </r>
  <r>
    <x v="972"/>
    <s v="26-09-2017"/>
    <x v="1"/>
    <x v="0"/>
    <x v="1"/>
    <n v="1965.54"/>
    <n v="358.03"/>
  </r>
  <r>
    <x v="973"/>
    <s v="27-05-2018"/>
    <x v="2"/>
    <x v="1"/>
    <x v="0"/>
    <n v="4226.83"/>
    <n v="1082.33"/>
  </r>
  <r>
    <x v="974"/>
    <s v="05-09-2017"/>
    <x v="1"/>
    <x v="0"/>
    <x v="2"/>
    <n v="960.48"/>
    <n v="135.81"/>
  </r>
  <r>
    <x v="975"/>
    <s v="22-05-2016"/>
    <x v="22"/>
    <x v="0"/>
    <x v="2"/>
    <n v="3646.39"/>
    <n v="539.88"/>
  </r>
  <r>
    <x v="976"/>
    <s v="21-09-2018"/>
    <x v="20"/>
    <x v="3"/>
    <x v="1"/>
    <n v="4645.3"/>
    <n v="967.93"/>
  </r>
  <r>
    <x v="977"/>
    <s v="24-01-2016"/>
    <x v="12"/>
    <x v="2"/>
    <x v="2"/>
    <n v="2110"/>
    <n v="129.41"/>
  </r>
  <r>
    <x v="978"/>
    <s v="10-09-2016"/>
    <x v="28"/>
    <x v="2"/>
    <x v="1"/>
    <n v="3907.92"/>
    <n v="236.6"/>
  </r>
  <r>
    <x v="979"/>
    <s v="09-03-2016"/>
    <x v="16"/>
    <x v="2"/>
    <x v="1"/>
    <n v="628.4"/>
    <n v="147"/>
  </r>
  <r>
    <x v="980"/>
    <s v="13-11-2016"/>
    <x v="27"/>
    <x v="3"/>
    <x v="1"/>
    <n v="4990.5600000000004"/>
    <n v="822.05"/>
  </r>
  <r>
    <x v="981"/>
    <s v="03-12-2016"/>
    <x v="24"/>
    <x v="2"/>
    <x v="1"/>
    <n v="2265.1999999999998"/>
    <n v="241.22"/>
  </r>
  <r>
    <x v="982"/>
    <s v="29-12-2016"/>
    <x v="24"/>
    <x v="3"/>
    <x v="2"/>
    <n v="1719.22"/>
    <n v="418.14"/>
  </r>
  <r>
    <x v="983"/>
    <s v="29-12-2016"/>
    <x v="24"/>
    <x v="3"/>
    <x v="2"/>
    <n v="3653.65"/>
    <n v="350.25"/>
  </r>
  <r>
    <x v="984"/>
    <s v="02-09-2017"/>
    <x v="1"/>
    <x v="1"/>
    <x v="1"/>
    <n v="1748.77"/>
    <n v="134.5"/>
  </r>
  <r>
    <x v="985"/>
    <s v="25-04-2016"/>
    <x v="13"/>
    <x v="0"/>
    <x v="2"/>
    <n v="2823.44"/>
    <n v="194.31"/>
  </r>
  <r>
    <x v="986"/>
    <s v="04-05-2017"/>
    <x v="14"/>
    <x v="0"/>
    <x v="2"/>
    <n v="1496.16"/>
    <n v="140.01"/>
  </r>
  <r>
    <x v="987"/>
    <s v="09-12-2017"/>
    <x v="26"/>
    <x v="0"/>
    <x v="1"/>
    <n v="3204.56"/>
    <n v="567.5"/>
  </r>
  <r>
    <x v="988"/>
    <s v="17-01-2018"/>
    <x v="18"/>
    <x v="2"/>
    <x v="0"/>
    <n v="4487.8900000000003"/>
    <n v="234.8"/>
  </r>
  <r>
    <x v="989"/>
    <s v="07-02-2016"/>
    <x v="23"/>
    <x v="3"/>
    <x v="1"/>
    <n v="4342.24"/>
    <n v="1008.85"/>
  </r>
  <r>
    <x v="990"/>
    <s v="07-09-2016"/>
    <x v="28"/>
    <x v="2"/>
    <x v="1"/>
    <n v="170.66"/>
    <n v="41.86"/>
  </r>
  <r>
    <x v="991"/>
    <s v="12-11-2016"/>
    <x v="27"/>
    <x v="0"/>
    <x v="2"/>
    <n v="2200.27"/>
    <n v="632.77"/>
  </r>
  <r>
    <x v="992"/>
    <s v="17-01-2017"/>
    <x v="19"/>
    <x v="0"/>
    <x v="1"/>
    <n v="4623.54"/>
    <n v="896.97"/>
  </r>
  <r>
    <x v="993"/>
    <s v="29-06-2016"/>
    <x v="30"/>
    <x v="0"/>
    <x v="2"/>
    <n v="1775.6"/>
    <n v="434.97"/>
  </r>
  <r>
    <x v="994"/>
    <s v="14-05-2016"/>
    <x v="22"/>
    <x v="1"/>
    <x v="2"/>
    <n v="1557.19"/>
    <n v="193.47"/>
  </r>
  <r>
    <x v="995"/>
    <s v="23-01-2018"/>
    <x v="18"/>
    <x v="0"/>
    <x v="1"/>
    <n v="4407.1899999999996"/>
    <n v="827.39"/>
  </r>
  <r>
    <x v="996"/>
    <s v="30-10-2017"/>
    <x v="10"/>
    <x v="3"/>
    <x v="1"/>
    <n v="1120.44"/>
    <n v="170.95"/>
  </r>
  <r>
    <x v="997"/>
    <s v="13-12-2016"/>
    <x v="24"/>
    <x v="3"/>
    <x v="1"/>
    <n v="2549.0500000000002"/>
    <n v="484.59"/>
  </r>
  <r>
    <x v="998"/>
    <s v="10-10-2017"/>
    <x v="10"/>
    <x v="0"/>
    <x v="2"/>
    <n v="1262.8900000000001"/>
    <n v="354.58"/>
  </r>
  <r>
    <x v="999"/>
    <s v="17-07-2017"/>
    <x v="32"/>
    <x v="1"/>
    <x v="0"/>
    <n v="4703.54"/>
    <n v="484.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50C024-8D4B-4DC1-8527-8EE8299444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7">
    <pivotField showAll="0"/>
    <pivotField showAll="0"/>
    <pivotField numFmtId="165" showAll="0"/>
    <pivotField axis="axisRow" showAll="0">
      <items count="5">
        <item x="1"/>
        <item x="3"/>
        <item x="2"/>
        <item x="0"/>
        <item t="default"/>
      </items>
    </pivotField>
    <pivotField showAll="0">
      <items count="4">
        <item x="1"/>
        <item x="2"/>
        <item x="0"/>
        <item t="default"/>
      </items>
    </pivotField>
    <pivotField dataField="1" showAll="0"/>
    <pivotField showAll="0"/>
  </pivotFields>
  <rowFields count="1">
    <field x="3"/>
  </rowFields>
  <rowItems count="5">
    <i>
      <x/>
    </i>
    <i>
      <x v="1"/>
    </i>
    <i>
      <x v="2"/>
    </i>
    <i>
      <x v="3"/>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67474D-D862-41D4-9B4C-AE6AE458ED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7">
    <pivotField showAll="0"/>
    <pivotField showAll="0"/>
    <pivotField numFmtId="165" showAll="0"/>
    <pivotField showAll="0"/>
    <pivotField axis="axisRow" showAll="0">
      <items count="4">
        <item x="1"/>
        <item x="2"/>
        <item x="0"/>
        <item t="default"/>
      </items>
    </pivotField>
    <pivotField dataField="1" showAll="0"/>
    <pivotField showAll="0"/>
  </pivotFields>
  <rowFields count="1">
    <field x="4"/>
  </rowFields>
  <rowItems count="4">
    <i>
      <x/>
    </i>
    <i>
      <x v="1"/>
    </i>
    <i>
      <x v="2"/>
    </i>
    <i t="grand">
      <x/>
    </i>
  </rowItems>
  <colItems count="1">
    <i/>
  </colItems>
  <dataFields count="1">
    <dataField name="Sum of Sales" fld="5"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C977DC-A08B-4768-BCCD-39FECBE7B3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7" firstHeaderRow="1" firstDataRow="1" firstDataCol="1"/>
  <pivotFields count="7">
    <pivotField showAll="0"/>
    <pivotField showAll="0"/>
    <pivotField axis="axisRow" numFmtId="165" showAll="0">
      <items count="34">
        <item x="12"/>
        <item x="23"/>
        <item x="16"/>
        <item x="13"/>
        <item x="22"/>
        <item x="30"/>
        <item x="0"/>
        <item x="6"/>
        <item x="28"/>
        <item x="25"/>
        <item x="27"/>
        <item x="24"/>
        <item x="19"/>
        <item x="7"/>
        <item x="9"/>
        <item x="21"/>
        <item x="14"/>
        <item x="17"/>
        <item x="32"/>
        <item x="3"/>
        <item x="1"/>
        <item x="10"/>
        <item x="29"/>
        <item x="26"/>
        <item x="18"/>
        <item x="5"/>
        <item x="4"/>
        <item x="11"/>
        <item x="2"/>
        <item x="31"/>
        <item x="15"/>
        <item x="8"/>
        <item x="20"/>
        <item t="default"/>
      </items>
    </pivotField>
    <pivotField showAll="0"/>
    <pivotField showAll="0"/>
    <pivotField dataField="1" showAll="0"/>
    <pivotField showAll="0"/>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B88D53-DB3E-465C-B954-3289391FD9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7">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65" showAll="0"/>
    <pivotField showAll="0"/>
    <pivotField showAll="0"/>
    <pivotField dataField="1" showAll="0"/>
    <pivotField dataField="1" showAll="0"/>
  </pivotFields>
  <rowItems count="1">
    <i/>
  </rowItems>
  <colFields count="1">
    <field x="-2"/>
  </colFields>
  <colItems count="3">
    <i>
      <x/>
    </i>
    <i i="1">
      <x v="1"/>
    </i>
    <i i="2">
      <x v="2"/>
    </i>
  </colItems>
  <dataFields count="3">
    <dataField name="Total Sales" fld="5" baseField="0" baseItem="1" numFmtId="1"/>
    <dataField name="Total Order ID" fld="0" subtotal="count" baseField="0" baseItem="1"/>
    <dataField name="Total Profit" fld="6" baseField="0" baseItem="2" numFmtId="1"/>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CB6DF9-F632-4FB3-A78C-90D013D9E36E}" sourceName="Region">
  <pivotTables>
    <pivotTable tabId="3" name="PivotTable2"/>
  </pivotTables>
  <data>
    <tabular pivotCacheId="2115496463">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64E80C-02C9-4377-BFA0-00557E8CF2B3}" sourceName="Category">
  <pivotTables>
    <pivotTable tabId="3" name="PivotTable2"/>
  </pivotTables>
  <data>
    <tabular pivotCacheId="211549646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BFEAC64-B150-4BFA-8E4C-ED0A8AD59FB6}" cache="Slicer_Region" caption="Region" rowHeight="241300"/>
  <slicer name="Category 1" xr10:uid="{DB4328BF-20E5-4222-A17B-8F5A628DF04A}"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workbookViewId="0"/>
  </sheetViews>
  <sheetFormatPr defaultRowHeight="14.5" x14ac:dyDescent="0.35"/>
  <cols>
    <col min="1" max="1" width="9.81640625" customWidth="1"/>
    <col min="2" max="2" width="10.7265625" style="1" customWidth="1"/>
    <col min="3" max="3" width="11.7265625" style="2" customWidth="1"/>
    <col min="4" max="4" width="12.54296875" customWidth="1"/>
    <col min="5" max="5" width="13.1796875" customWidth="1"/>
    <col min="6" max="6" width="11.90625" customWidth="1"/>
    <col min="7" max="7" width="12.81640625" customWidth="1"/>
  </cols>
  <sheetData>
    <row r="1" spans="1:7" x14ac:dyDescent="0.35">
      <c r="A1" s="13" t="s">
        <v>0</v>
      </c>
      <c r="B1" s="14" t="s">
        <v>1</v>
      </c>
      <c r="C1" s="15" t="s">
        <v>1650</v>
      </c>
      <c r="D1" s="13" t="s">
        <v>2</v>
      </c>
      <c r="E1" s="13" t="s">
        <v>3</v>
      </c>
      <c r="F1" s="13" t="s">
        <v>4</v>
      </c>
      <c r="G1" s="13" t="s">
        <v>5</v>
      </c>
    </row>
    <row r="2" spans="1:7" x14ac:dyDescent="0.35">
      <c r="A2" t="s">
        <v>6</v>
      </c>
      <c r="B2" s="1" t="s">
        <v>7</v>
      </c>
      <c r="C2" s="2">
        <f>EOMONTH(B2,0)</f>
        <v>42582</v>
      </c>
      <c r="D2" t="s">
        <v>8</v>
      </c>
      <c r="E2" t="s">
        <v>9</v>
      </c>
      <c r="F2">
        <v>4600.26</v>
      </c>
      <c r="G2">
        <v>1313.72</v>
      </c>
    </row>
    <row r="3" spans="1:7" x14ac:dyDescent="0.35">
      <c r="A3" t="s">
        <v>10</v>
      </c>
      <c r="B3" s="1" t="s">
        <v>11</v>
      </c>
      <c r="C3" s="2">
        <f t="shared" ref="C3:C66" si="0">EOMONTH(B3,0)</f>
        <v>43008</v>
      </c>
      <c r="D3" t="s">
        <v>12</v>
      </c>
      <c r="E3" t="s">
        <v>13</v>
      </c>
      <c r="F3">
        <v>492.79</v>
      </c>
      <c r="G3">
        <v>101.33</v>
      </c>
    </row>
    <row r="4" spans="1:7" x14ac:dyDescent="0.35">
      <c r="A4" t="s">
        <v>14</v>
      </c>
      <c r="B4" s="1" t="s">
        <v>15</v>
      </c>
      <c r="C4" s="2">
        <f t="shared" si="0"/>
        <v>43251</v>
      </c>
      <c r="D4" t="s">
        <v>16</v>
      </c>
      <c r="E4" t="s">
        <v>13</v>
      </c>
      <c r="F4">
        <v>1413.55</v>
      </c>
      <c r="G4">
        <v>148.93</v>
      </c>
    </row>
    <row r="5" spans="1:7" x14ac:dyDescent="0.35">
      <c r="A5" t="s">
        <v>17</v>
      </c>
      <c r="B5" s="1" t="s">
        <v>18</v>
      </c>
      <c r="C5" s="2">
        <f t="shared" si="0"/>
        <v>42978</v>
      </c>
      <c r="D5" t="s">
        <v>12</v>
      </c>
      <c r="E5" t="s">
        <v>13</v>
      </c>
      <c r="F5">
        <v>4053.67</v>
      </c>
      <c r="G5">
        <v>281.31</v>
      </c>
    </row>
    <row r="6" spans="1:7" x14ac:dyDescent="0.35">
      <c r="A6" t="s">
        <v>19</v>
      </c>
      <c r="B6" s="1" t="s">
        <v>20</v>
      </c>
      <c r="C6" s="2">
        <f t="shared" si="0"/>
        <v>43190</v>
      </c>
      <c r="D6" t="s">
        <v>12</v>
      </c>
      <c r="E6" t="s">
        <v>9</v>
      </c>
      <c r="F6">
        <v>3365.26</v>
      </c>
      <c r="G6">
        <v>1000.74</v>
      </c>
    </row>
    <row r="7" spans="1:7" x14ac:dyDescent="0.35">
      <c r="A7" t="s">
        <v>21</v>
      </c>
      <c r="B7" s="1" t="s">
        <v>22</v>
      </c>
      <c r="C7" s="2">
        <f t="shared" si="0"/>
        <v>43159</v>
      </c>
      <c r="D7" t="s">
        <v>16</v>
      </c>
      <c r="E7" t="s">
        <v>9</v>
      </c>
      <c r="F7">
        <v>2527.94</v>
      </c>
      <c r="G7">
        <v>220.24</v>
      </c>
    </row>
    <row r="8" spans="1:7" x14ac:dyDescent="0.35">
      <c r="A8" t="s">
        <v>23</v>
      </c>
      <c r="B8" s="1" t="s">
        <v>24</v>
      </c>
      <c r="C8" s="2">
        <f t="shared" si="0"/>
        <v>42613</v>
      </c>
      <c r="D8" t="s">
        <v>8</v>
      </c>
      <c r="E8" t="s">
        <v>25</v>
      </c>
      <c r="F8">
        <v>333.76</v>
      </c>
      <c r="G8">
        <v>18.29</v>
      </c>
    </row>
    <row r="9" spans="1:7" x14ac:dyDescent="0.35">
      <c r="A9" t="s">
        <v>26</v>
      </c>
      <c r="B9" s="1" t="s">
        <v>27</v>
      </c>
      <c r="C9" s="2">
        <f t="shared" si="0"/>
        <v>42794</v>
      </c>
      <c r="D9" t="s">
        <v>12</v>
      </c>
      <c r="E9" t="s">
        <v>9</v>
      </c>
      <c r="F9">
        <v>4382.2299999999996</v>
      </c>
      <c r="G9">
        <v>471.2</v>
      </c>
    </row>
    <row r="10" spans="1:7" x14ac:dyDescent="0.35">
      <c r="A10" t="s">
        <v>28</v>
      </c>
      <c r="B10" s="1" t="s">
        <v>29</v>
      </c>
      <c r="C10" s="2">
        <f t="shared" si="0"/>
        <v>42613</v>
      </c>
      <c r="D10" t="s">
        <v>8</v>
      </c>
      <c r="E10" t="s">
        <v>13</v>
      </c>
      <c r="F10">
        <v>4257.8999999999996</v>
      </c>
      <c r="G10">
        <v>351.39</v>
      </c>
    </row>
    <row r="11" spans="1:7" x14ac:dyDescent="0.35">
      <c r="A11" t="s">
        <v>30</v>
      </c>
      <c r="B11" s="1" t="s">
        <v>31</v>
      </c>
      <c r="C11" s="2">
        <f t="shared" si="0"/>
        <v>43343</v>
      </c>
      <c r="D11" t="s">
        <v>16</v>
      </c>
      <c r="E11" t="s">
        <v>25</v>
      </c>
      <c r="F11">
        <v>1532.22</v>
      </c>
      <c r="G11">
        <v>394.95</v>
      </c>
    </row>
    <row r="12" spans="1:7" x14ac:dyDescent="0.35">
      <c r="A12" t="s">
        <v>32</v>
      </c>
      <c r="B12" s="1" t="s">
        <v>33</v>
      </c>
      <c r="C12" s="2">
        <f t="shared" si="0"/>
        <v>42978</v>
      </c>
      <c r="D12" t="s">
        <v>8</v>
      </c>
      <c r="E12" t="s">
        <v>9</v>
      </c>
      <c r="F12">
        <v>1367.54</v>
      </c>
      <c r="G12">
        <v>289.58999999999997</v>
      </c>
    </row>
    <row r="13" spans="1:7" x14ac:dyDescent="0.35">
      <c r="A13" t="s">
        <v>34</v>
      </c>
      <c r="B13" s="1" t="s">
        <v>7</v>
      </c>
      <c r="C13" s="2">
        <f t="shared" si="0"/>
        <v>42582</v>
      </c>
      <c r="D13" t="s">
        <v>16</v>
      </c>
      <c r="E13" t="s">
        <v>25</v>
      </c>
      <c r="F13">
        <v>1980.29</v>
      </c>
      <c r="G13">
        <v>124.98</v>
      </c>
    </row>
    <row r="14" spans="1:7" x14ac:dyDescent="0.35">
      <c r="A14" t="s">
        <v>35</v>
      </c>
      <c r="B14" s="1" t="s">
        <v>36</v>
      </c>
      <c r="C14" s="2">
        <f t="shared" si="0"/>
        <v>42825</v>
      </c>
      <c r="D14" t="s">
        <v>37</v>
      </c>
      <c r="E14" t="s">
        <v>9</v>
      </c>
      <c r="F14">
        <v>1308.1500000000001</v>
      </c>
      <c r="G14">
        <v>159.16</v>
      </c>
    </row>
    <row r="15" spans="1:7" x14ac:dyDescent="0.35">
      <c r="A15" t="s">
        <v>38</v>
      </c>
      <c r="B15" s="1" t="s">
        <v>39</v>
      </c>
      <c r="C15" s="2">
        <f t="shared" si="0"/>
        <v>42978</v>
      </c>
      <c r="D15" t="s">
        <v>37</v>
      </c>
      <c r="E15" t="s">
        <v>9</v>
      </c>
      <c r="F15">
        <v>539.57000000000005</v>
      </c>
      <c r="G15">
        <v>70.13</v>
      </c>
    </row>
    <row r="16" spans="1:7" x14ac:dyDescent="0.35">
      <c r="A16" t="s">
        <v>40</v>
      </c>
      <c r="B16" s="1" t="s">
        <v>41</v>
      </c>
      <c r="C16" s="2">
        <f t="shared" si="0"/>
        <v>43039</v>
      </c>
      <c r="D16" t="s">
        <v>12</v>
      </c>
      <c r="E16" t="s">
        <v>9</v>
      </c>
      <c r="F16">
        <v>4812.74</v>
      </c>
      <c r="G16">
        <v>927.03</v>
      </c>
    </row>
    <row r="17" spans="1:7" x14ac:dyDescent="0.35">
      <c r="A17" t="s">
        <v>42</v>
      </c>
      <c r="B17" s="1" t="s">
        <v>43</v>
      </c>
      <c r="C17" s="2">
        <f t="shared" si="0"/>
        <v>43220</v>
      </c>
      <c r="D17" t="s">
        <v>8</v>
      </c>
      <c r="E17" t="s">
        <v>13</v>
      </c>
      <c r="F17">
        <v>1850.66</v>
      </c>
      <c r="G17">
        <v>517.80999999999995</v>
      </c>
    </row>
    <row r="18" spans="1:7" x14ac:dyDescent="0.35">
      <c r="A18" t="s">
        <v>44</v>
      </c>
      <c r="B18" s="1" t="s">
        <v>45</v>
      </c>
      <c r="C18" s="2">
        <f t="shared" si="0"/>
        <v>42400</v>
      </c>
      <c r="D18" t="s">
        <v>8</v>
      </c>
      <c r="E18" t="s">
        <v>9</v>
      </c>
      <c r="F18">
        <v>3835.06</v>
      </c>
      <c r="G18">
        <v>247.54</v>
      </c>
    </row>
    <row r="19" spans="1:7" x14ac:dyDescent="0.35">
      <c r="A19" t="s">
        <v>46</v>
      </c>
      <c r="B19" s="1" t="s">
        <v>47</v>
      </c>
      <c r="C19" s="2">
        <f t="shared" si="0"/>
        <v>42490</v>
      </c>
      <c r="D19" t="s">
        <v>12</v>
      </c>
      <c r="E19" t="s">
        <v>25</v>
      </c>
      <c r="F19">
        <v>3278.22</v>
      </c>
      <c r="G19">
        <v>827.79</v>
      </c>
    </row>
    <row r="20" spans="1:7" x14ac:dyDescent="0.35">
      <c r="A20" t="s">
        <v>48</v>
      </c>
      <c r="B20" s="1" t="s">
        <v>49</v>
      </c>
      <c r="C20" s="2">
        <f t="shared" si="0"/>
        <v>42613</v>
      </c>
      <c r="D20" t="s">
        <v>8</v>
      </c>
      <c r="E20" t="s">
        <v>9</v>
      </c>
      <c r="F20">
        <v>1590.52</v>
      </c>
      <c r="G20">
        <v>219.2</v>
      </c>
    </row>
    <row r="21" spans="1:7" x14ac:dyDescent="0.35">
      <c r="A21" t="s">
        <v>50</v>
      </c>
      <c r="B21" s="1" t="s">
        <v>51</v>
      </c>
      <c r="C21" s="2">
        <f t="shared" si="0"/>
        <v>42886</v>
      </c>
      <c r="D21" t="s">
        <v>12</v>
      </c>
      <c r="E21" t="s">
        <v>25</v>
      </c>
      <c r="F21">
        <v>580.11</v>
      </c>
      <c r="G21">
        <v>98.82</v>
      </c>
    </row>
    <row r="22" spans="1:7" x14ac:dyDescent="0.35">
      <c r="A22" t="s">
        <v>52</v>
      </c>
      <c r="B22" s="1" t="s">
        <v>53</v>
      </c>
      <c r="C22" s="2">
        <f t="shared" si="0"/>
        <v>43312</v>
      </c>
      <c r="D22" t="s">
        <v>12</v>
      </c>
      <c r="E22" t="s">
        <v>13</v>
      </c>
      <c r="F22">
        <v>487.72</v>
      </c>
      <c r="G22">
        <v>66.510000000000005</v>
      </c>
    </row>
    <row r="23" spans="1:7" x14ac:dyDescent="0.35">
      <c r="A23" t="s">
        <v>54</v>
      </c>
      <c r="B23" s="1" t="s">
        <v>55</v>
      </c>
      <c r="C23" s="2">
        <f t="shared" si="0"/>
        <v>43251</v>
      </c>
      <c r="D23" t="s">
        <v>16</v>
      </c>
      <c r="E23" t="s">
        <v>9</v>
      </c>
      <c r="F23">
        <v>3455.1</v>
      </c>
      <c r="G23">
        <v>449</v>
      </c>
    </row>
    <row r="24" spans="1:7" x14ac:dyDescent="0.35">
      <c r="A24" t="s">
        <v>56</v>
      </c>
      <c r="B24" s="1" t="s">
        <v>57</v>
      </c>
      <c r="C24" s="2">
        <f t="shared" si="0"/>
        <v>42460</v>
      </c>
      <c r="D24" t="s">
        <v>8</v>
      </c>
      <c r="E24" t="s">
        <v>25</v>
      </c>
      <c r="F24">
        <v>4674.72</v>
      </c>
      <c r="G24">
        <v>933.99</v>
      </c>
    </row>
    <row r="25" spans="1:7" x14ac:dyDescent="0.35">
      <c r="A25" t="s">
        <v>58</v>
      </c>
      <c r="B25" s="1" t="s">
        <v>59</v>
      </c>
      <c r="C25" s="2">
        <f t="shared" si="0"/>
        <v>43190</v>
      </c>
      <c r="D25" t="s">
        <v>16</v>
      </c>
      <c r="E25" t="s">
        <v>13</v>
      </c>
      <c r="F25">
        <v>1156.0999999999999</v>
      </c>
      <c r="G25">
        <v>336.05</v>
      </c>
    </row>
    <row r="26" spans="1:7" x14ac:dyDescent="0.35">
      <c r="A26" t="s">
        <v>60</v>
      </c>
      <c r="B26" s="1" t="s">
        <v>61</v>
      </c>
      <c r="C26" s="2">
        <f t="shared" si="0"/>
        <v>42916</v>
      </c>
      <c r="D26" t="s">
        <v>37</v>
      </c>
      <c r="E26" t="s">
        <v>13</v>
      </c>
      <c r="F26">
        <v>3722.59</v>
      </c>
      <c r="G26">
        <v>197.17</v>
      </c>
    </row>
    <row r="27" spans="1:7" x14ac:dyDescent="0.35">
      <c r="A27" t="s">
        <v>62</v>
      </c>
      <c r="B27" s="1" t="s">
        <v>63</v>
      </c>
      <c r="C27" s="2">
        <f t="shared" si="0"/>
        <v>43131</v>
      </c>
      <c r="D27" t="s">
        <v>8</v>
      </c>
      <c r="E27" t="s">
        <v>25</v>
      </c>
      <c r="F27">
        <v>1469.56</v>
      </c>
      <c r="G27">
        <v>399.54</v>
      </c>
    </row>
    <row r="28" spans="1:7" x14ac:dyDescent="0.35">
      <c r="A28" t="s">
        <v>64</v>
      </c>
      <c r="B28" s="1" t="s">
        <v>65</v>
      </c>
      <c r="C28" s="2">
        <f t="shared" si="0"/>
        <v>42582</v>
      </c>
      <c r="D28" t="s">
        <v>8</v>
      </c>
      <c r="E28" t="s">
        <v>13</v>
      </c>
      <c r="F28">
        <v>3807.57</v>
      </c>
      <c r="G28">
        <v>270.56</v>
      </c>
    </row>
    <row r="29" spans="1:7" x14ac:dyDescent="0.35">
      <c r="A29" t="s">
        <v>66</v>
      </c>
      <c r="B29" s="1" t="s">
        <v>67</v>
      </c>
      <c r="C29" s="2">
        <f t="shared" si="0"/>
        <v>42766</v>
      </c>
      <c r="D29" t="s">
        <v>8</v>
      </c>
      <c r="E29" t="s">
        <v>13</v>
      </c>
      <c r="F29">
        <v>3279.16</v>
      </c>
      <c r="G29">
        <v>693.76</v>
      </c>
    </row>
    <row r="30" spans="1:7" x14ac:dyDescent="0.35">
      <c r="A30" t="s">
        <v>68</v>
      </c>
      <c r="B30" s="1" t="s">
        <v>69</v>
      </c>
      <c r="C30" s="2">
        <f t="shared" si="0"/>
        <v>43373</v>
      </c>
      <c r="D30" t="s">
        <v>8</v>
      </c>
      <c r="E30" t="s">
        <v>13</v>
      </c>
      <c r="F30">
        <v>2688.2</v>
      </c>
      <c r="G30">
        <v>279.89999999999998</v>
      </c>
    </row>
    <row r="31" spans="1:7" x14ac:dyDescent="0.35">
      <c r="A31" t="s">
        <v>70</v>
      </c>
      <c r="B31" s="1" t="s">
        <v>71</v>
      </c>
      <c r="C31" s="2">
        <f t="shared" si="0"/>
        <v>42582</v>
      </c>
      <c r="D31" t="s">
        <v>8</v>
      </c>
      <c r="E31" t="s">
        <v>9</v>
      </c>
      <c r="F31">
        <v>1584.59</v>
      </c>
      <c r="G31">
        <v>277.18</v>
      </c>
    </row>
    <row r="32" spans="1:7" x14ac:dyDescent="0.35">
      <c r="A32" t="s">
        <v>72</v>
      </c>
      <c r="B32" s="1" t="s">
        <v>73</v>
      </c>
      <c r="C32" s="2">
        <f t="shared" si="0"/>
        <v>42855</v>
      </c>
      <c r="D32" t="s">
        <v>8</v>
      </c>
      <c r="E32" t="s">
        <v>25</v>
      </c>
      <c r="F32">
        <v>3328.41</v>
      </c>
      <c r="G32">
        <v>832.98</v>
      </c>
    </row>
    <row r="33" spans="1:7" x14ac:dyDescent="0.35">
      <c r="A33" t="s">
        <v>74</v>
      </c>
      <c r="B33" s="1" t="s">
        <v>75</v>
      </c>
      <c r="C33" s="2">
        <f t="shared" si="0"/>
        <v>42582</v>
      </c>
      <c r="D33" t="s">
        <v>12</v>
      </c>
      <c r="E33" t="s">
        <v>13</v>
      </c>
      <c r="F33">
        <v>4838.83</v>
      </c>
      <c r="G33">
        <v>334.35</v>
      </c>
    </row>
    <row r="34" spans="1:7" x14ac:dyDescent="0.35">
      <c r="A34" t="s">
        <v>76</v>
      </c>
      <c r="B34" s="1" t="s">
        <v>77</v>
      </c>
      <c r="C34" s="2">
        <f t="shared" si="0"/>
        <v>42521</v>
      </c>
      <c r="D34" t="s">
        <v>12</v>
      </c>
      <c r="E34" t="s">
        <v>9</v>
      </c>
      <c r="F34">
        <v>3277.6</v>
      </c>
      <c r="G34">
        <v>311.41000000000003</v>
      </c>
    </row>
    <row r="35" spans="1:7" x14ac:dyDescent="0.35">
      <c r="A35" t="s">
        <v>78</v>
      </c>
      <c r="B35" s="1" t="s">
        <v>79</v>
      </c>
      <c r="C35" s="2">
        <f t="shared" si="0"/>
        <v>42886</v>
      </c>
      <c r="D35" t="s">
        <v>12</v>
      </c>
      <c r="E35" t="s">
        <v>25</v>
      </c>
      <c r="F35">
        <v>1176.0899999999999</v>
      </c>
      <c r="G35">
        <v>94.9</v>
      </c>
    </row>
    <row r="36" spans="1:7" x14ac:dyDescent="0.35">
      <c r="A36" t="s">
        <v>80</v>
      </c>
      <c r="B36" s="1" t="s">
        <v>81</v>
      </c>
      <c r="C36" s="2">
        <f t="shared" si="0"/>
        <v>42400</v>
      </c>
      <c r="D36" t="s">
        <v>16</v>
      </c>
      <c r="E36" t="s">
        <v>9</v>
      </c>
      <c r="F36">
        <v>884.48</v>
      </c>
      <c r="G36">
        <v>163.71</v>
      </c>
    </row>
    <row r="37" spans="1:7" x14ac:dyDescent="0.35">
      <c r="A37" t="s">
        <v>82</v>
      </c>
      <c r="B37" s="1" t="s">
        <v>83</v>
      </c>
      <c r="C37" s="2">
        <f t="shared" si="0"/>
        <v>42855</v>
      </c>
      <c r="D37" t="s">
        <v>8</v>
      </c>
      <c r="E37" t="s">
        <v>25</v>
      </c>
      <c r="F37">
        <v>485.48</v>
      </c>
      <c r="G37">
        <v>42.2</v>
      </c>
    </row>
    <row r="38" spans="1:7" x14ac:dyDescent="0.35">
      <c r="A38" t="s">
        <v>84</v>
      </c>
      <c r="B38" s="1" t="s">
        <v>85</v>
      </c>
      <c r="C38" s="2">
        <f t="shared" si="0"/>
        <v>42766</v>
      </c>
      <c r="D38" t="s">
        <v>16</v>
      </c>
      <c r="E38" t="s">
        <v>25</v>
      </c>
      <c r="F38">
        <v>4207.5</v>
      </c>
      <c r="G38">
        <v>575.69000000000005</v>
      </c>
    </row>
    <row r="39" spans="1:7" x14ac:dyDescent="0.35">
      <c r="A39" t="s">
        <v>86</v>
      </c>
      <c r="B39" s="1" t="s">
        <v>87</v>
      </c>
      <c r="C39" s="2">
        <f t="shared" si="0"/>
        <v>43312</v>
      </c>
      <c r="D39" t="s">
        <v>37</v>
      </c>
      <c r="E39" t="s">
        <v>9</v>
      </c>
      <c r="F39">
        <v>4949.3599999999997</v>
      </c>
      <c r="G39">
        <v>1348.93</v>
      </c>
    </row>
    <row r="40" spans="1:7" x14ac:dyDescent="0.35">
      <c r="A40" t="s">
        <v>88</v>
      </c>
      <c r="B40" s="1" t="s">
        <v>67</v>
      </c>
      <c r="C40" s="2">
        <f t="shared" si="0"/>
        <v>42766</v>
      </c>
      <c r="D40" t="s">
        <v>37</v>
      </c>
      <c r="E40" t="s">
        <v>13</v>
      </c>
      <c r="F40">
        <v>3289.36</v>
      </c>
      <c r="G40">
        <v>870.67</v>
      </c>
    </row>
    <row r="41" spans="1:7" x14ac:dyDescent="0.35">
      <c r="A41" t="s">
        <v>89</v>
      </c>
      <c r="B41" s="1" t="s">
        <v>90</v>
      </c>
      <c r="C41" s="2">
        <f t="shared" si="0"/>
        <v>42429</v>
      </c>
      <c r="D41" t="s">
        <v>8</v>
      </c>
      <c r="E41" t="s">
        <v>13</v>
      </c>
      <c r="F41">
        <v>3248.26</v>
      </c>
      <c r="G41">
        <v>625.30999999999995</v>
      </c>
    </row>
    <row r="42" spans="1:7" x14ac:dyDescent="0.35">
      <c r="A42" t="s">
        <v>91</v>
      </c>
      <c r="B42" s="1" t="s">
        <v>92</v>
      </c>
      <c r="C42" s="2">
        <f t="shared" si="0"/>
        <v>42735</v>
      </c>
      <c r="D42" t="s">
        <v>8</v>
      </c>
      <c r="E42" t="s">
        <v>9</v>
      </c>
      <c r="F42">
        <v>2981.04</v>
      </c>
      <c r="G42">
        <v>824.25</v>
      </c>
    </row>
    <row r="43" spans="1:7" x14ac:dyDescent="0.35">
      <c r="A43" t="s">
        <v>93</v>
      </c>
      <c r="B43" s="1" t="s">
        <v>94</v>
      </c>
      <c r="C43" s="2">
        <f t="shared" si="0"/>
        <v>42674</v>
      </c>
      <c r="D43" t="s">
        <v>37</v>
      </c>
      <c r="E43" t="s">
        <v>25</v>
      </c>
      <c r="F43">
        <v>4346.25</v>
      </c>
      <c r="G43">
        <v>742.44</v>
      </c>
    </row>
    <row r="44" spans="1:7" x14ac:dyDescent="0.35">
      <c r="A44" t="s">
        <v>95</v>
      </c>
      <c r="B44" s="1" t="s">
        <v>96</v>
      </c>
      <c r="C44" s="2">
        <f t="shared" si="0"/>
        <v>43251</v>
      </c>
      <c r="D44" t="s">
        <v>12</v>
      </c>
      <c r="E44" t="s">
        <v>25</v>
      </c>
      <c r="F44">
        <v>3132.5</v>
      </c>
      <c r="G44">
        <v>247.31</v>
      </c>
    </row>
    <row r="45" spans="1:7" x14ac:dyDescent="0.35">
      <c r="A45" t="s">
        <v>97</v>
      </c>
      <c r="B45" s="1" t="s">
        <v>98</v>
      </c>
      <c r="C45" s="2">
        <f t="shared" si="0"/>
        <v>42855</v>
      </c>
      <c r="D45" t="s">
        <v>8</v>
      </c>
      <c r="E45" t="s">
        <v>25</v>
      </c>
      <c r="F45">
        <v>4050</v>
      </c>
      <c r="G45">
        <v>766.62</v>
      </c>
    </row>
    <row r="46" spans="1:7" x14ac:dyDescent="0.35">
      <c r="A46" t="s">
        <v>99</v>
      </c>
      <c r="B46" s="1" t="s">
        <v>100</v>
      </c>
      <c r="C46" s="2">
        <f t="shared" si="0"/>
        <v>43312</v>
      </c>
      <c r="D46" t="s">
        <v>8</v>
      </c>
      <c r="E46" t="s">
        <v>25</v>
      </c>
      <c r="F46">
        <v>3647.73</v>
      </c>
      <c r="G46">
        <v>1046.06</v>
      </c>
    </row>
    <row r="47" spans="1:7" x14ac:dyDescent="0.35">
      <c r="A47" t="s">
        <v>101</v>
      </c>
      <c r="B47" s="1" t="s">
        <v>102</v>
      </c>
      <c r="C47" s="2">
        <f t="shared" si="0"/>
        <v>43100</v>
      </c>
      <c r="D47" t="s">
        <v>16</v>
      </c>
      <c r="E47" t="s">
        <v>13</v>
      </c>
      <c r="F47">
        <v>3993.9</v>
      </c>
      <c r="G47">
        <v>606.37</v>
      </c>
    </row>
    <row r="48" spans="1:7" x14ac:dyDescent="0.35">
      <c r="A48" t="s">
        <v>103</v>
      </c>
      <c r="B48" s="1" t="s">
        <v>104</v>
      </c>
      <c r="C48" s="2">
        <f t="shared" si="0"/>
        <v>42704</v>
      </c>
      <c r="D48" t="s">
        <v>16</v>
      </c>
      <c r="E48" t="s">
        <v>25</v>
      </c>
      <c r="F48">
        <v>4598.3500000000004</v>
      </c>
      <c r="G48">
        <v>557.28</v>
      </c>
    </row>
    <row r="49" spans="1:7" x14ac:dyDescent="0.35">
      <c r="A49" t="s">
        <v>105</v>
      </c>
      <c r="B49" s="1" t="s">
        <v>106</v>
      </c>
      <c r="C49" s="2">
        <f t="shared" si="0"/>
        <v>42429</v>
      </c>
      <c r="D49" t="s">
        <v>37</v>
      </c>
      <c r="E49" t="s">
        <v>13</v>
      </c>
      <c r="F49">
        <v>3535.29</v>
      </c>
      <c r="G49">
        <v>850.84</v>
      </c>
    </row>
    <row r="50" spans="1:7" x14ac:dyDescent="0.35">
      <c r="A50" t="s">
        <v>107</v>
      </c>
      <c r="B50" s="1" t="s">
        <v>108</v>
      </c>
      <c r="C50" s="2">
        <f t="shared" si="0"/>
        <v>42643</v>
      </c>
      <c r="D50" t="s">
        <v>12</v>
      </c>
      <c r="E50" t="s">
        <v>25</v>
      </c>
      <c r="F50">
        <v>2891.35</v>
      </c>
      <c r="G50">
        <v>607.67999999999995</v>
      </c>
    </row>
    <row r="51" spans="1:7" x14ac:dyDescent="0.35">
      <c r="A51" t="s">
        <v>109</v>
      </c>
      <c r="B51" s="1" t="s">
        <v>110</v>
      </c>
      <c r="C51" s="2">
        <f t="shared" si="0"/>
        <v>42825</v>
      </c>
      <c r="D51" t="s">
        <v>16</v>
      </c>
      <c r="E51" t="s">
        <v>9</v>
      </c>
      <c r="F51">
        <v>4532.9799999999996</v>
      </c>
      <c r="G51">
        <v>1143.29</v>
      </c>
    </row>
    <row r="52" spans="1:7" x14ac:dyDescent="0.35">
      <c r="A52" t="s">
        <v>111</v>
      </c>
      <c r="B52" s="1" t="s">
        <v>112</v>
      </c>
      <c r="C52" s="2">
        <f t="shared" si="0"/>
        <v>42855</v>
      </c>
      <c r="D52" t="s">
        <v>16</v>
      </c>
      <c r="E52" t="s">
        <v>25</v>
      </c>
      <c r="F52">
        <v>3549.36</v>
      </c>
      <c r="G52">
        <v>468.55</v>
      </c>
    </row>
    <row r="53" spans="1:7" x14ac:dyDescent="0.35">
      <c r="A53" t="s">
        <v>113</v>
      </c>
      <c r="B53" s="1" t="s">
        <v>114</v>
      </c>
      <c r="C53" s="2">
        <f t="shared" si="0"/>
        <v>42886</v>
      </c>
      <c r="D53" t="s">
        <v>8</v>
      </c>
      <c r="E53" t="s">
        <v>9</v>
      </c>
      <c r="F53">
        <v>3347.56</v>
      </c>
      <c r="G53">
        <v>501.53</v>
      </c>
    </row>
    <row r="54" spans="1:7" x14ac:dyDescent="0.35">
      <c r="A54" t="s">
        <v>115</v>
      </c>
      <c r="B54" s="1" t="s">
        <v>116</v>
      </c>
      <c r="C54" s="2">
        <f t="shared" si="0"/>
        <v>43069</v>
      </c>
      <c r="D54" t="s">
        <v>8</v>
      </c>
      <c r="E54" t="s">
        <v>13</v>
      </c>
      <c r="F54">
        <v>1940.48</v>
      </c>
      <c r="G54">
        <v>214.02</v>
      </c>
    </row>
    <row r="55" spans="1:7" x14ac:dyDescent="0.35">
      <c r="A55" t="s">
        <v>117</v>
      </c>
      <c r="B55" s="1" t="s">
        <v>118</v>
      </c>
      <c r="C55" s="2">
        <f t="shared" si="0"/>
        <v>42916</v>
      </c>
      <c r="D55" t="s">
        <v>16</v>
      </c>
      <c r="E55" t="s">
        <v>9</v>
      </c>
      <c r="F55">
        <v>2350.11</v>
      </c>
      <c r="G55">
        <v>575.13</v>
      </c>
    </row>
    <row r="56" spans="1:7" x14ac:dyDescent="0.35">
      <c r="A56" t="s">
        <v>119</v>
      </c>
      <c r="B56" s="1" t="s">
        <v>120</v>
      </c>
      <c r="C56" s="2">
        <f t="shared" si="0"/>
        <v>42460</v>
      </c>
      <c r="D56" t="s">
        <v>37</v>
      </c>
      <c r="E56" t="s">
        <v>9</v>
      </c>
      <c r="F56">
        <v>4925.93</v>
      </c>
      <c r="G56">
        <v>618.38</v>
      </c>
    </row>
    <row r="57" spans="1:7" x14ac:dyDescent="0.35">
      <c r="A57" t="s">
        <v>121</v>
      </c>
      <c r="B57" s="1" t="s">
        <v>122</v>
      </c>
      <c r="C57" s="2">
        <f t="shared" si="0"/>
        <v>43008</v>
      </c>
      <c r="D57" t="s">
        <v>12</v>
      </c>
      <c r="E57" t="s">
        <v>9</v>
      </c>
      <c r="F57">
        <v>110.24</v>
      </c>
      <c r="G57">
        <v>24.85</v>
      </c>
    </row>
    <row r="58" spans="1:7" x14ac:dyDescent="0.35">
      <c r="A58" t="s">
        <v>123</v>
      </c>
      <c r="B58" s="1" t="s">
        <v>124</v>
      </c>
      <c r="C58" s="2">
        <f t="shared" si="0"/>
        <v>42490</v>
      </c>
      <c r="D58" t="s">
        <v>16</v>
      </c>
      <c r="E58" t="s">
        <v>13</v>
      </c>
      <c r="F58">
        <v>3242.28</v>
      </c>
      <c r="G58">
        <v>827.26</v>
      </c>
    </row>
    <row r="59" spans="1:7" x14ac:dyDescent="0.35">
      <c r="A59" t="s">
        <v>125</v>
      </c>
      <c r="B59" s="1" t="s">
        <v>126</v>
      </c>
      <c r="C59" s="2">
        <f t="shared" si="0"/>
        <v>42429</v>
      </c>
      <c r="D59" t="s">
        <v>37</v>
      </c>
      <c r="E59" t="s">
        <v>9</v>
      </c>
      <c r="F59">
        <v>3694.97</v>
      </c>
      <c r="G59">
        <v>479.12</v>
      </c>
    </row>
    <row r="60" spans="1:7" x14ac:dyDescent="0.35">
      <c r="A60" t="s">
        <v>127</v>
      </c>
      <c r="B60" s="1" t="s">
        <v>128</v>
      </c>
      <c r="C60" s="2">
        <f t="shared" si="0"/>
        <v>42643</v>
      </c>
      <c r="D60" t="s">
        <v>12</v>
      </c>
      <c r="E60" t="s">
        <v>9</v>
      </c>
      <c r="F60">
        <v>991.91</v>
      </c>
      <c r="G60">
        <v>192.6</v>
      </c>
    </row>
    <row r="61" spans="1:7" x14ac:dyDescent="0.35">
      <c r="A61" t="s">
        <v>129</v>
      </c>
      <c r="B61" s="1" t="s">
        <v>57</v>
      </c>
      <c r="C61" s="2">
        <f t="shared" si="0"/>
        <v>42460</v>
      </c>
      <c r="D61" t="s">
        <v>16</v>
      </c>
      <c r="E61" t="s">
        <v>9</v>
      </c>
      <c r="F61">
        <v>3274.28</v>
      </c>
      <c r="G61">
        <v>297.02999999999997</v>
      </c>
    </row>
    <row r="62" spans="1:7" x14ac:dyDescent="0.35">
      <c r="A62" t="s">
        <v>130</v>
      </c>
      <c r="B62" s="1" t="s">
        <v>131</v>
      </c>
      <c r="C62" s="2">
        <f t="shared" si="0"/>
        <v>43220</v>
      </c>
      <c r="D62" t="s">
        <v>16</v>
      </c>
      <c r="E62" t="s">
        <v>25</v>
      </c>
      <c r="F62">
        <v>4223.17</v>
      </c>
      <c r="G62">
        <v>338.65</v>
      </c>
    </row>
    <row r="63" spans="1:7" x14ac:dyDescent="0.35">
      <c r="A63" t="s">
        <v>132</v>
      </c>
      <c r="B63" s="1" t="s">
        <v>133</v>
      </c>
      <c r="C63" s="2">
        <f t="shared" si="0"/>
        <v>42613</v>
      </c>
      <c r="D63" t="s">
        <v>12</v>
      </c>
      <c r="E63" t="s">
        <v>9</v>
      </c>
      <c r="F63">
        <v>152.4</v>
      </c>
      <c r="G63">
        <v>18.68</v>
      </c>
    </row>
    <row r="64" spans="1:7" x14ac:dyDescent="0.35">
      <c r="A64" t="s">
        <v>134</v>
      </c>
      <c r="B64" s="1" t="s">
        <v>92</v>
      </c>
      <c r="C64" s="2">
        <f t="shared" si="0"/>
        <v>42735</v>
      </c>
      <c r="D64" t="s">
        <v>12</v>
      </c>
      <c r="E64" t="s">
        <v>25</v>
      </c>
      <c r="F64">
        <v>3156.98</v>
      </c>
      <c r="G64">
        <v>876.43</v>
      </c>
    </row>
    <row r="65" spans="1:7" x14ac:dyDescent="0.35">
      <c r="A65" t="s">
        <v>135</v>
      </c>
      <c r="B65" s="1" t="s">
        <v>136</v>
      </c>
      <c r="C65" s="2">
        <f t="shared" si="0"/>
        <v>42521</v>
      </c>
      <c r="D65" t="s">
        <v>8</v>
      </c>
      <c r="E65" t="s">
        <v>9</v>
      </c>
      <c r="F65">
        <v>887.51</v>
      </c>
      <c r="G65">
        <v>63.83</v>
      </c>
    </row>
    <row r="66" spans="1:7" x14ac:dyDescent="0.35">
      <c r="A66" t="s">
        <v>137</v>
      </c>
      <c r="B66" s="1" t="s">
        <v>138</v>
      </c>
      <c r="C66" s="2">
        <f t="shared" si="0"/>
        <v>42643</v>
      </c>
      <c r="D66" t="s">
        <v>12</v>
      </c>
      <c r="E66" t="s">
        <v>25</v>
      </c>
      <c r="F66">
        <v>1686.82</v>
      </c>
      <c r="G66">
        <v>158.72</v>
      </c>
    </row>
    <row r="67" spans="1:7" x14ac:dyDescent="0.35">
      <c r="A67" t="s">
        <v>139</v>
      </c>
      <c r="B67" s="1" t="s">
        <v>140</v>
      </c>
      <c r="C67" s="2">
        <f t="shared" ref="C67:C130" si="1">EOMONTH(B67,0)</f>
        <v>43039</v>
      </c>
      <c r="D67" t="s">
        <v>16</v>
      </c>
      <c r="E67" t="s">
        <v>25</v>
      </c>
      <c r="F67">
        <v>4902.6099999999997</v>
      </c>
      <c r="G67">
        <v>1160.32</v>
      </c>
    </row>
    <row r="68" spans="1:7" x14ac:dyDescent="0.35">
      <c r="A68" t="s">
        <v>141</v>
      </c>
      <c r="B68" s="1" t="s">
        <v>142</v>
      </c>
      <c r="C68" s="2">
        <f t="shared" si="1"/>
        <v>43343</v>
      </c>
      <c r="D68" t="s">
        <v>12</v>
      </c>
      <c r="E68" t="s">
        <v>25</v>
      </c>
      <c r="F68">
        <v>4121.8599999999997</v>
      </c>
      <c r="G68">
        <v>542.19000000000005</v>
      </c>
    </row>
    <row r="69" spans="1:7" x14ac:dyDescent="0.35">
      <c r="A69" t="s">
        <v>143</v>
      </c>
      <c r="B69" s="1" t="s">
        <v>144</v>
      </c>
      <c r="C69" s="2">
        <f t="shared" si="1"/>
        <v>43373</v>
      </c>
      <c r="D69" t="s">
        <v>37</v>
      </c>
      <c r="E69" t="s">
        <v>13</v>
      </c>
      <c r="F69">
        <v>2754.34</v>
      </c>
      <c r="G69">
        <v>205.88</v>
      </c>
    </row>
    <row r="70" spans="1:7" x14ac:dyDescent="0.35">
      <c r="A70" t="s">
        <v>145</v>
      </c>
      <c r="B70" s="1" t="s">
        <v>116</v>
      </c>
      <c r="C70" s="2">
        <f t="shared" si="1"/>
        <v>43069</v>
      </c>
      <c r="D70" t="s">
        <v>8</v>
      </c>
      <c r="E70" t="s">
        <v>13</v>
      </c>
      <c r="F70">
        <v>3358.77</v>
      </c>
      <c r="G70">
        <v>773.04</v>
      </c>
    </row>
    <row r="71" spans="1:7" x14ac:dyDescent="0.35">
      <c r="A71" t="s">
        <v>146</v>
      </c>
      <c r="B71" s="1" t="s">
        <v>147</v>
      </c>
      <c r="C71" s="2">
        <f t="shared" si="1"/>
        <v>43190</v>
      </c>
      <c r="D71" t="s">
        <v>12</v>
      </c>
      <c r="E71" t="s">
        <v>25</v>
      </c>
      <c r="F71">
        <v>4832.1099999999997</v>
      </c>
      <c r="G71">
        <v>1172.04</v>
      </c>
    </row>
    <row r="72" spans="1:7" x14ac:dyDescent="0.35">
      <c r="A72" t="s">
        <v>148</v>
      </c>
      <c r="B72" s="1" t="s">
        <v>149</v>
      </c>
      <c r="C72" s="2">
        <f t="shared" si="1"/>
        <v>43039</v>
      </c>
      <c r="D72" t="s">
        <v>12</v>
      </c>
      <c r="E72" t="s">
        <v>25</v>
      </c>
      <c r="F72">
        <v>4161.04</v>
      </c>
      <c r="G72">
        <v>1223.19</v>
      </c>
    </row>
    <row r="73" spans="1:7" x14ac:dyDescent="0.35">
      <c r="A73" t="s">
        <v>150</v>
      </c>
      <c r="B73" s="1" t="s">
        <v>151</v>
      </c>
      <c r="C73" s="2">
        <f t="shared" si="1"/>
        <v>43159</v>
      </c>
      <c r="D73" t="s">
        <v>8</v>
      </c>
      <c r="E73" t="s">
        <v>13</v>
      </c>
      <c r="F73">
        <v>521.48</v>
      </c>
      <c r="G73">
        <v>88.94</v>
      </c>
    </row>
    <row r="74" spans="1:7" x14ac:dyDescent="0.35">
      <c r="A74" t="s">
        <v>152</v>
      </c>
      <c r="B74" s="1" t="s">
        <v>153</v>
      </c>
      <c r="C74" s="2">
        <f t="shared" si="1"/>
        <v>42825</v>
      </c>
      <c r="D74" t="s">
        <v>12</v>
      </c>
      <c r="E74" t="s">
        <v>13</v>
      </c>
      <c r="F74">
        <v>2227.65</v>
      </c>
      <c r="G74">
        <v>487.85</v>
      </c>
    </row>
    <row r="75" spans="1:7" x14ac:dyDescent="0.35">
      <c r="A75" t="s">
        <v>154</v>
      </c>
      <c r="B75" s="1" t="s">
        <v>155</v>
      </c>
      <c r="C75" s="2">
        <f t="shared" si="1"/>
        <v>43039</v>
      </c>
      <c r="D75" t="s">
        <v>37</v>
      </c>
      <c r="E75" t="s">
        <v>9</v>
      </c>
      <c r="F75">
        <v>4267</v>
      </c>
      <c r="G75">
        <v>321.89</v>
      </c>
    </row>
    <row r="76" spans="1:7" x14ac:dyDescent="0.35">
      <c r="A76" t="s">
        <v>156</v>
      </c>
      <c r="B76" s="1" t="s">
        <v>157</v>
      </c>
      <c r="C76" s="2">
        <f t="shared" si="1"/>
        <v>43190</v>
      </c>
      <c r="D76" t="s">
        <v>8</v>
      </c>
      <c r="E76" t="s">
        <v>13</v>
      </c>
      <c r="F76">
        <v>499.4</v>
      </c>
      <c r="G76">
        <v>97.96</v>
      </c>
    </row>
    <row r="77" spans="1:7" x14ac:dyDescent="0.35">
      <c r="A77" t="s">
        <v>158</v>
      </c>
      <c r="B77" s="1" t="s">
        <v>159</v>
      </c>
      <c r="C77" s="2">
        <f t="shared" si="1"/>
        <v>42794</v>
      </c>
      <c r="D77" t="s">
        <v>12</v>
      </c>
      <c r="E77" t="s">
        <v>9</v>
      </c>
      <c r="F77">
        <v>3434.58</v>
      </c>
      <c r="G77">
        <v>578.95000000000005</v>
      </c>
    </row>
    <row r="78" spans="1:7" x14ac:dyDescent="0.35">
      <c r="A78" t="s">
        <v>160</v>
      </c>
      <c r="B78" s="1" t="s">
        <v>161</v>
      </c>
      <c r="C78" s="2">
        <f t="shared" si="1"/>
        <v>42674</v>
      </c>
      <c r="D78" t="s">
        <v>37</v>
      </c>
      <c r="E78" t="s">
        <v>13</v>
      </c>
      <c r="F78">
        <v>2456.25</v>
      </c>
      <c r="G78">
        <v>274.73</v>
      </c>
    </row>
    <row r="79" spans="1:7" x14ac:dyDescent="0.35">
      <c r="A79" t="s">
        <v>162</v>
      </c>
      <c r="B79" s="1" t="s">
        <v>163</v>
      </c>
      <c r="C79" s="2">
        <f t="shared" si="1"/>
        <v>42643</v>
      </c>
      <c r="D79" t="s">
        <v>8</v>
      </c>
      <c r="E79" t="s">
        <v>9</v>
      </c>
      <c r="F79">
        <v>1206.3599999999999</v>
      </c>
      <c r="G79">
        <v>208.28</v>
      </c>
    </row>
    <row r="80" spans="1:7" x14ac:dyDescent="0.35">
      <c r="A80" t="s">
        <v>164</v>
      </c>
      <c r="B80" s="1" t="s">
        <v>165</v>
      </c>
      <c r="C80" s="2">
        <f t="shared" si="1"/>
        <v>42704</v>
      </c>
      <c r="D80" t="s">
        <v>8</v>
      </c>
      <c r="E80" t="s">
        <v>25</v>
      </c>
      <c r="F80">
        <v>3960.67</v>
      </c>
      <c r="G80">
        <v>733.02</v>
      </c>
    </row>
    <row r="81" spans="1:7" x14ac:dyDescent="0.35">
      <c r="A81" t="s">
        <v>166</v>
      </c>
      <c r="B81" s="1" t="s">
        <v>167</v>
      </c>
      <c r="C81" s="2">
        <f t="shared" si="1"/>
        <v>42916</v>
      </c>
      <c r="D81" t="s">
        <v>37</v>
      </c>
      <c r="E81" t="s">
        <v>25</v>
      </c>
      <c r="F81">
        <v>2384.0300000000002</v>
      </c>
      <c r="G81">
        <v>677.2</v>
      </c>
    </row>
    <row r="82" spans="1:7" x14ac:dyDescent="0.35">
      <c r="A82" t="s">
        <v>168</v>
      </c>
      <c r="B82" s="1" t="s">
        <v>169</v>
      </c>
      <c r="C82" s="2">
        <f t="shared" si="1"/>
        <v>43039</v>
      </c>
      <c r="D82" t="s">
        <v>12</v>
      </c>
      <c r="E82" t="s">
        <v>13</v>
      </c>
      <c r="F82">
        <v>1719.21</v>
      </c>
      <c r="G82">
        <v>491.17</v>
      </c>
    </row>
    <row r="83" spans="1:7" x14ac:dyDescent="0.35">
      <c r="A83" t="s">
        <v>170</v>
      </c>
      <c r="B83" s="1" t="s">
        <v>171</v>
      </c>
      <c r="C83" s="2">
        <f t="shared" si="1"/>
        <v>43373</v>
      </c>
      <c r="D83" t="s">
        <v>12</v>
      </c>
      <c r="E83" t="s">
        <v>25</v>
      </c>
      <c r="F83">
        <v>3273.79</v>
      </c>
      <c r="G83">
        <v>380.23</v>
      </c>
    </row>
    <row r="84" spans="1:7" x14ac:dyDescent="0.35">
      <c r="A84" t="s">
        <v>172</v>
      </c>
      <c r="B84" s="1" t="s">
        <v>173</v>
      </c>
      <c r="C84" s="2">
        <f t="shared" si="1"/>
        <v>42551</v>
      </c>
      <c r="D84" t="s">
        <v>16</v>
      </c>
      <c r="E84" t="s">
        <v>9</v>
      </c>
      <c r="F84">
        <v>1084.07</v>
      </c>
      <c r="G84">
        <v>86.86</v>
      </c>
    </row>
    <row r="85" spans="1:7" x14ac:dyDescent="0.35">
      <c r="A85" t="s">
        <v>174</v>
      </c>
      <c r="B85" s="1" t="s">
        <v>175</v>
      </c>
      <c r="C85" s="2">
        <f t="shared" si="1"/>
        <v>43069</v>
      </c>
      <c r="D85" t="s">
        <v>37</v>
      </c>
      <c r="E85" t="s">
        <v>25</v>
      </c>
      <c r="F85">
        <v>541.53</v>
      </c>
      <c r="G85">
        <v>45.1</v>
      </c>
    </row>
    <row r="86" spans="1:7" x14ac:dyDescent="0.35">
      <c r="A86" t="s">
        <v>176</v>
      </c>
      <c r="B86" s="1" t="s">
        <v>177</v>
      </c>
      <c r="C86" s="2">
        <f t="shared" si="1"/>
        <v>42490</v>
      </c>
      <c r="D86" t="s">
        <v>12</v>
      </c>
      <c r="E86" t="s">
        <v>25</v>
      </c>
      <c r="F86">
        <v>4811.95</v>
      </c>
      <c r="G86">
        <v>891.4</v>
      </c>
    </row>
    <row r="87" spans="1:7" x14ac:dyDescent="0.35">
      <c r="A87" t="s">
        <v>178</v>
      </c>
      <c r="B87" s="1" t="s">
        <v>179</v>
      </c>
      <c r="C87" s="2">
        <f t="shared" si="1"/>
        <v>42886</v>
      </c>
      <c r="D87" t="s">
        <v>8</v>
      </c>
      <c r="E87" t="s">
        <v>9</v>
      </c>
      <c r="F87">
        <v>1781.93</v>
      </c>
      <c r="G87">
        <v>407.51</v>
      </c>
    </row>
    <row r="88" spans="1:7" x14ac:dyDescent="0.35">
      <c r="A88" t="s">
        <v>180</v>
      </c>
      <c r="B88" s="1" t="s">
        <v>181</v>
      </c>
      <c r="C88" s="2">
        <f t="shared" si="1"/>
        <v>43100</v>
      </c>
      <c r="D88" t="s">
        <v>12</v>
      </c>
      <c r="E88" t="s">
        <v>9</v>
      </c>
      <c r="F88">
        <v>3866.94</v>
      </c>
      <c r="G88">
        <v>608.74</v>
      </c>
    </row>
    <row r="89" spans="1:7" x14ac:dyDescent="0.35">
      <c r="A89" t="s">
        <v>182</v>
      </c>
      <c r="B89" s="1" t="s">
        <v>183</v>
      </c>
      <c r="C89" s="2">
        <f t="shared" si="1"/>
        <v>42613</v>
      </c>
      <c r="D89" t="s">
        <v>12</v>
      </c>
      <c r="E89" t="s">
        <v>9</v>
      </c>
      <c r="F89">
        <v>816.03</v>
      </c>
      <c r="G89">
        <v>175.84</v>
      </c>
    </row>
    <row r="90" spans="1:7" x14ac:dyDescent="0.35">
      <c r="A90" t="s">
        <v>184</v>
      </c>
      <c r="B90" s="1" t="s">
        <v>185</v>
      </c>
      <c r="C90" s="2">
        <f t="shared" si="1"/>
        <v>42460</v>
      </c>
      <c r="D90" t="s">
        <v>12</v>
      </c>
      <c r="E90" t="s">
        <v>13</v>
      </c>
      <c r="F90">
        <v>2507.16</v>
      </c>
      <c r="G90">
        <v>445.21</v>
      </c>
    </row>
    <row r="91" spans="1:7" x14ac:dyDescent="0.35">
      <c r="A91" t="s">
        <v>186</v>
      </c>
      <c r="B91" s="1" t="s">
        <v>187</v>
      </c>
      <c r="C91" s="2">
        <f t="shared" si="1"/>
        <v>43373</v>
      </c>
      <c r="D91" t="s">
        <v>8</v>
      </c>
      <c r="E91" t="s">
        <v>13</v>
      </c>
      <c r="F91">
        <v>1373.73</v>
      </c>
      <c r="G91">
        <v>412.01</v>
      </c>
    </row>
    <row r="92" spans="1:7" x14ac:dyDescent="0.35">
      <c r="A92" t="s">
        <v>188</v>
      </c>
      <c r="B92" s="1" t="s">
        <v>189</v>
      </c>
      <c r="C92" s="2">
        <f t="shared" si="1"/>
        <v>42613</v>
      </c>
      <c r="D92" t="s">
        <v>8</v>
      </c>
      <c r="E92" t="s">
        <v>9</v>
      </c>
      <c r="F92">
        <v>2667.05</v>
      </c>
      <c r="G92">
        <v>764.62</v>
      </c>
    </row>
    <row r="93" spans="1:7" x14ac:dyDescent="0.35">
      <c r="A93" t="s">
        <v>190</v>
      </c>
      <c r="B93" s="1" t="s">
        <v>191</v>
      </c>
      <c r="C93" s="2">
        <f t="shared" si="1"/>
        <v>43251</v>
      </c>
      <c r="D93" t="s">
        <v>8</v>
      </c>
      <c r="E93" t="s">
        <v>9</v>
      </c>
      <c r="F93">
        <v>3080.55</v>
      </c>
      <c r="G93">
        <v>836.52</v>
      </c>
    </row>
    <row r="94" spans="1:7" x14ac:dyDescent="0.35">
      <c r="A94" t="s">
        <v>192</v>
      </c>
      <c r="B94" s="1" t="s">
        <v>193</v>
      </c>
      <c r="C94" s="2">
        <f t="shared" si="1"/>
        <v>43281</v>
      </c>
      <c r="D94" t="s">
        <v>16</v>
      </c>
      <c r="E94" t="s">
        <v>25</v>
      </c>
      <c r="F94">
        <v>2445.21</v>
      </c>
      <c r="G94">
        <v>159.38999999999999</v>
      </c>
    </row>
    <row r="95" spans="1:7" x14ac:dyDescent="0.35">
      <c r="A95" t="s">
        <v>194</v>
      </c>
      <c r="B95" s="1" t="s">
        <v>195</v>
      </c>
      <c r="C95" s="2">
        <f t="shared" si="1"/>
        <v>42521</v>
      </c>
      <c r="D95" t="s">
        <v>37</v>
      </c>
      <c r="E95" t="s">
        <v>13</v>
      </c>
      <c r="F95">
        <v>2195.88</v>
      </c>
      <c r="G95">
        <v>388.72</v>
      </c>
    </row>
    <row r="96" spans="1:7" x14ac:dyDescent="0.35">
      <c r="A96" t="s">
        <v>196</v>
      </c>
      <c r="B96" s="1" t="s">
        <v>197</v>
      </c>
      <c r="C96" s="2">
        <f t="shared" si="1"/>
        <v>42978</v>
      </c>
      <c r="D96" t="s">
        <v>16</v>
      </c>
      <c r="E96" t="s">
        <v>9</v>
      </c>
      <c r="F96">
        <v>786.04</v>
      </c>
      <c r="G96">
        <v>158.71</v>
      </c>
    </row>
    <row r="97" spans="1:7" x14ac:dyDescent="0.35">
      <c r="A97" t="s">
        <v>198</v>
      </c>
      <c r="B97" s="1" t="s">
        <v>199</v>
      </c>
      <c r="C97" s="2">
        <f t="shared" si="1"/>
        <v>42551</v>
      </c>
      <c r="D97" t="s">
        <v>37</v>
      </c>
      <c r="E97" t="s">
        <v>13</v>
      </c>
      <c r="F97">
        <v>2697.87</v>
      </c>
      <c r="G97">
        <v>411.99</v>
      </c>
    </row>
    <row r="98" spans="1:7" x14ac:dyDescent="0.35">
      <c r="A98" t="s">
        <v>200</v>
      </c>
      <c r="B98" s="1" t="s">
        <v>201</v>
      </c>
      <c r="C98" s="2">
        <f t="shared" si="1"/>
        <v>43312</v>
      </c>
      <c r="D98" t="s">
        <v>16</v>
      </c>
      <c r="E98" t="s">
        <v>25</v>
      </c>
      <c r="F98">
        <v>2465.79</v>
      </c>
      <c r="G98">
        <v>397.77</v>
      </c>
    </row>
    <row r="99" spans="1:7" x14ac:dyDescent="0.35">
      <c r="A99" t="s">
        <v>202</v>
      </c>
      <c r="B99" s="1" t="s">
        <v>203</v>
      </c>
      <c r="C99" s="2">
        <f t="shared" si="1"/>
        <v>43220</v>
      </c>
      <c r="D99" t="s">
        <v>16</v>
      </c>
      <c r="E99" t="s">
        <v>25</v>
      </c>
      <c r="F99">
        <v>2341.8200000000002</v>
      </c>
      <c r="G99">
        <v>625.6</v>
      </c>
    </row>
    <row r="100" spans="1:7" x14ac:dyDescent="0.35">
      <c r="A100" t="s">
        <v>204</v>
      </c>
      <c r="B100" s="1" t="s">
        <v>51</v>
      </c>
      <c r="C100" s="2">
        <f t="shared" si="1"/>
        <v>42886</v>
      </c>
      <c r="D100" t="s">
        <v>37</v>
      </c>
      <c r="E100" t="s">
        <v>25</v>
      </c>
      <c r="F100">
        <v>4194.63</v>
      </c>
      <c r="G100">
        <v>709.59</v>
      </c>
    </row>
    <row r="101" spans="1:7" x14ac:dyDescent="0.35">
      <c r="A101" t="s">
        <v>205</v>
      </c>
      <c r="B101" s="1" t="s">
        <v>206</v>
      </c>
      <c r="C101" s="2">
        <f t="shared" si="1"/>
        <v>43312</v>
      </c>
      <c r="D101" t="s">
        <v>12</v>
      </c>
      <c r="E101" t="s">
        <v>25</v>
      </c>
      <c r="F101">
        <v>2453.27</v>
      </c>
      <c r="G101">
        <v>492.01</v>
      </c>
    </row>
    <row r="102" spans="1:7" x14ac:dyDescent="0.35">
      <c r="A102" t="s">
        <v>207</v>
      </c>
      <c r="B102" s="1" t="s">
        <v>208</v>
      </c>
      <c r="C102" s="2">
        <f t="shared" si="1"/>
        <v>42643</v>
      </c>
      <c r="D102" t="s">
        <v>12</v>
      </c>
      <c r="E102" t="s">
        <v>25</v>
      </c>
      <c r="F102">
        <v>2167.36</v>
      </c>
      <c r="G102">
        <v>298.33</v>
      </c>
    </row>
    <row r="103" spans="1:7" x14ac:dyDescent="0.35">
      <c r="A103" t="s">
        <v>209</v>
      </c>
      <c r="B103" s="1" t="s">
        <v>210</v>
      </c>
      <c r="C103" s="2">
        <f t="shared" si="1"/>
        <v>43190</v>
      </c>
      <c r="D103" t="s">
        <v>8</v>
      </c>
      <c r="E103" t="s">
        <v>9</v>
      </c>
      <c r="F103">
        <v>1586.37</v>
      </c>
      <c r="G103">
        <v>317.63</v>
      </c>
    </row>
    <row r="104" spans="1:7" x14ac:dyDescent="0.35">
      <c r="A104" t="s">
        <v>211</v>
      </c>
      <c r="B104" s="1" t="s">
        <v>212</v>
      </c>
      <c r="C104" s="2">
        <f t="shared" si="1"/>
        <v>43039</v>
      </c>
      <c r="D104" t="s">
        <v>8</v>
      </c>
      <c r="E104" t="s">
        <v>25</v>
      </c>
      <c r="F104">
        <v>4073.33</v>
      </c>
      <c r="G104">
        <v>874.01</v>
      </c>
    </row>
    <row r="105" spans="1:7" x14ac:dyDescent="0.35">
      <c r="A105" t="s">
        <v>213</v>
      </c>
      <c r="B105" s="1" t="s">
        <v>214</v>
      </c>
      <c r="C105" s="2">
        <f t="shared" si="1"/>
        <v>42429</v>
      </c>
      <c r="D105" t="s">
        <v>12</v>
      </c>
      <c r="E105" t="s">
        <v>25</v>
      </c>
      <c r="F105">
        <v>3720.83</v>
      </c>
      <c r="G105">
        <v>729</v>
      </c>
    </row>
    <row r="106" spans="1:7" x14ac:dyDescent="0.35">
      <c r="A106" t="s">
        <v>215</v>
      </c>
      <c r="B106" s="1" t="s">
        <v>216</v>
      </c>
      <c r="C106" s="2">
        <f t="shared" si="1"/>
        <v>42794</v>
      </c>
      <c r="D106" t="s">
        <v>37</v>
      </c>
      <c r="E106" t="s">
        <v>25</v>
      </c>
      <c r="F106">
        <v>4675.59</v>
      </c>
      <c r="G106">
        <v>565.79999999999995</v>
      </c>
    </row>
    <row r="107" spans="1:7" x14ac:dyDescent="0.35">
      <c r="A107" t="s">
        <v>217</v>
      </c>
      <c r="B107" s="1" t="s">
        <v>218</v>
      </c>
      <c r="C107" s="2">
        <f t="shared" si="1"/>
        <v>43131</v>
      </c>
      <c r="D107" t="s">
        <v>16</v>
      </c>
      <c r="E107" t="s">
        <v>25</v>
      </c>
      <c r="F107">
        <v>1441.74</v>
      </c>
      <c r="G107">
        <v>143.76</v>
      </c>
    </row>
    <row r="108" spans="1:7" x14ac:dyDescent="0.35">
      <c r="A108" t="s">
        <v>219</v>
      </c>
      <c r="B108" s="1" t="s">
        <v>220</v>
      </c>
      <c r="C108" s="2">
        <f t="shared" si="1"/>
        <v>43069</v>
      </c>
      <c r="D108" t="s">
        <v>12</v>
      </c>
      <c r="E108" t="s">
        <v>9</v>
      </c>
      <c r="F108">
        <v>4212.63</v>
      </c>
      <c r="G108">
        <v>999.64</v>
      </c>
    </row>
    <row r="109" spans="1:7" x14ac:dyDescent="0.35">
      <c r="A109" t="s">
        <v>221</v>
      </c>
      <c r="B109" s="1" t="s">
        <v>222</v>
      </c>
      <c r="C109" s="2">
        <f t="shared" si="1"/>
        <v>43373</v>
      </c>
      <c r="D109" t="s">
        <v>12</v>
      </c>
      <c r="E109" t="s">
        <v>13</v>
      </c>
      <c r="F109">
        <v>795.68</v>
      </c>
      <c r="G109">
        <v>188.65</v>
      </c>
    </row>
    <row r="110" spans="1:7" x14ac:dyDescent="0.35">
      <c r="A110" t="s">
        <v>223</v>
      </c>
      <c r="B110" s="1" t="s">
        <v>224</v>
      </c>
      <c r="C110" s="2">
        <f t="shared" si="1"/>
        <v>42400</v>
      </c>
      <c r="D110" t="s">
        <v>12</v>
      </c>
      <c r="E110" t="s">
        <v>25</v>
      </c>
      <c r="F110">
        <v>2065.0500000000002</v>
      </c>
      <c r="G110">
        <v>572.15</v>
      </c>
    </row>
    <row r="111" spans="1:7" x14ac:dyDescent="0.35">
      <c r="A111" t="s">
        <v>225</v>
      </c>
      <c r="B111" s="1" t="s">
        <v>226</v>
      </c>
      <c r="C111" s="2">
        <f t="shared" si="1"/>
        <v>43220</v>
      </c>
      <c r="D111" t="s">
        <v>8</v>
      </c>
      <c r="E111" t="s">
        <v>13</v>
      </c>
      <c r="F111">
        <v>438.29</v>
      </c>
      <c r="G111">
        <v>39.11</v>
      </c>
    </row>
    <row r="112" spans="1:7" x14ac:dyDescent="0.35">
      <c r="A112" t="s">
        <v>227</v>
      </c>
      <c r="B112" s="1" t="s">
        <v>228</v>
      </c>
      <c r="C112" s="2">
        <f t="shared" si="1"/>
        <v>42643</v>
      </c>
      <c r="D112" t="s">
        <v>8</v>
      </c>
      <c r="E112" t="s">
        <v>13</v>
      </c>
      <c r="F112">
        <v>2084.39</v>
      </c>
      <c r="G112">
        <v>425.09</v>
      </c>
    </row>
    <row r="113" spans="1:7" x14ac:dyDescent="0.35">
      <c r="A113" t="s">
        <v>229</v>
      </c>
      <c r="B113" s="1" t="s">
        <v>230</v>
      </c>
      <c r="C113" s="2">
        <f t="shared" si="1"/>
        <v>42643</v>
      </c>
      <c r="D113" t="s">
        <v>8</v>
      </c>
      <c r="E113" t="s">
        <v>9</v>
      </c>
      <c r="F113">
        <v>3721.49</v>
      </c>
      <c r="G113">
        <v>463.79</v>
      </c>
    </row>
    <row r="114" spans="1:7" x14ac:dyDescent="0.35">
      <c r="A114" t="s">
        <v>231</v>
      </c>
      <c r="B114" s="1" t="s">
        <v>232</v>
      </c>
      <c r="C114" s="2">
        <f t="shared" si="1"/>
        <v>42766</v>
      </c>
      <c r="D114" t="s">
        <v>37</v>
      </c>
      <c r="E114" t="s">
        <v>9</v>
      </c>
      <c r="F114">
        <v>2113.33</v>
      </c>
      <c r="G114">
        <v>319.73</v>
      </c>
    </row>
    <row r="115" spans="1:7" x14ac:dyDescent="0.35">
      <c r="A115" t="s">
        <v>233</v>
      </c>
      <c r="B115" s="1" t="s">
        <v>234</v>
      </c>
      <c r="C115" s="2">
        <f t="shared" si="1"/>
        <v>43190</v>
      </c>
      <c r="D115" t="s">
        <v>16</v>
      </c>
      <c r="E115" t="s">
        <v>25</v>
      </c>
      <c r="F115">
        <v>1211.47</v>
      </c>
      <c r="G115">
        <v>206.51</v>
      </c>
    </row>
    <row r="116" spans="1:7" x14ac:dyDescent="0.35">
      <c r="A116" t="s">
        <v>235</v>
      </c>
      <c r="B116" s="1" t="s">
        <v>236</v>
      </c>
      <c r="C116" s="2">
        <f t="shared" si="1"/>
        <v>43100</v>
      </c>
      <c r="D116" t="s">
        <v>8</v>
      </c>
      <c r="E116" t="s">
        <v>25</v>
      </c>
      <c r="F116">
        <v>2948.27</v>
      </c>
      <c r="G116">
        <v>168.98</v>
      </c>
    </row>
    <row r="117" spans="1:7" x14ac:dyDescent="0.35">
      <c r="A117" t="s">
        <v>237</v>
      </c>
      <c r="B117" s="1" t="s">
        <v>238</v>
      </c>
      <c r="C117" s="2">
        <f t="shared" si="1"/>
        <v>42674</v>
      </c>
      <c r="D117" t="s">
        <v>12</v>
      </c>
      <c r="E117" t="s">
        <v>9</v>
      </c>
      <c r="F117">
        <v>3718.94</v>
      </c>
      <c r="G117">
        <v>677.04</v>
      </c>
    </row>
    <row r="118" spans="1:7" x14ac:dyDescent="0.35">
      <c r="A118" t="s">
        <v>239</v>
      </c>
      <c r="B118" s="1" t="s">
        <v>240</v>
      </c>
      <c r="C118" s="2">
        <f t="shared" si="1"/>
        <v>43220</v>
      </c>
      <c r="D118" t="s">
        <v>37</v>
      </c>
      <c r="E118" t="s">
        <v>9</v>
      </c>
      <c r="F118">
        <v>2153.0500000000002</v>
      </c>
      <c r="G118">
        <v>196.06</v>
      </c>
    </row>
    <row r="119" spans="1:7" x14ac:dyDescent="0.35">
      <c r="A119" t="s">
        <v>241</v>
      </c>
      <c r="B119" s="1" t="s">
        <v>242</v>
      </c>
      <c r="C119" s="2">
        <f t="shared" si="1"/>
        <v>42766</v>
      </c>
      <c r="D119" t="s">
        <v>12</v>
      </c>
      <c r="E119" t="s">
        <v>13</v>
      </c>
      <c r="F119">
        <v>3085.01</v>
      </c>
      <c r="G119">
        <v>848.77</v>
      </c>
    </row>
    <row r="120" spans="1:7" x14ac:dyDescent="0.35">
      <c r="A120" t="s">
        <v>243</v>
      </c>
      <c r="B120" s="1" t="s">
        <v>244</v>
      </c>
      <c r="C120" s="2">
        <f t="shared" si="1"/>
        <v>42460</v>
      </c>
      <c r="D120" t="s">
        <v>37</v>
      </c>
      <c r="E120" t="s">
        <v>9</v>
      </c>
      <c r="F120">
        <v>4123.53</v>
      </c>
      <c r="G120">
        <v>736.35</v>
      </c>
    </row>
    <row r="121" spans="1:7" x14ac:dyDescent="0.35">
      <c r="A121" t="s">
        <v>245</v>
      </c>
      <c r="B121" s="1" t="s">
        <v>246</v>
      </c>
      <c r="C121" s="2">
        <f t="shared" si="1"/>
        <v>43281</v>
      </c>
      <c r="D121" t="s">
        <v>8</v>
      </c>
      <c r="E121" t="s">
        <v>13</v>
      </c>
      <c r="F121">
        <v>915.08</v>
      </c>
      <c r="G121">
        <v>125.03</v>
      </c>
    </row>
    <row r="122" spans="1:7" x14ac:dyDescent="0.35">
      <c r="A122" t="s">
        <v>247</v>
      </c>
      <c r="B122" s="1" t="s">
        <v>248</v>
      </c>
      <c r="C122" s="2">
        <f t="shared" si="1"/>
        <v>42825</v>
      </c>
      <c r="D122" t="s">
        <v>37</v>
      </c>
      <c r="E122" t="s">
        <v>9</v>
      </c>
      <c r="F122">
        <v>205.84</v>
      </c>
      <c r="G122">
        <v>54.1</v>
      </c>
    </row>
    <row r="123" spans="1:7" x14ac:dyDescent="0.35">
      <c r="A123" t="s">
        <v>249</v>
      </c>
      <c r="B123" s="1" t="s">
        <v>250</v>
      </c>
      <c r="C123" s="2">
        <f t="shared" si="1"/>
        <v>42643</v>
      </c>
      <c r="D123" t="s">
        <v>8</v>
      </c>
      <c r="E123" t="s">
        <v>13</v>
      </c>
      <c r="F123">
        <v>2391.0300000000002</v>
      </c>
      <c r="G123">
        <v>157.58000000000001</v>
      </c>
    </row>
    <row r="124" spans="1:7" x14ac:dyDescent="0.35">
      <c r="A124" t="s">
        <v>251</v>
      </c>
      <c r="B124" s="1" t="s">
        <v>252</v>
      </c>
      <c r="C124" s="2">
        <f t="shared" si="1"/>
        <v>43100</v>
      </c>
      <c r="D124" t="s">
        <v>16</v>
      </c>
      <c r="E124" t="s">
        <v>25</v>
      </c>
      <c r="F124">
        <v>4604.2</v>
      </c>
      <c r="G124">
        <v>319.47000000000003</v>
      </c>
    </row>
    <row r="125" spans="1:7" x14ac:dyDescent="0.35">
      <c r="A125" t="s">
        <v>253</v>
      </c>
      <c r="B125" s="1" t="s">
        <v>254</v>
      </c>
      <c r="C125" s="2">
        <f t="shared" si="1"/>
        <v>42886</v>
      </c>
      <c r="D125" t="s">
        <v>16</v>
      </c>
      <c r="E125" t="s">
        <v>25</v>
      </c>
      <c r="F125">
        <v>1910.59</v>
      </c>
      <c r="G125">
        <v>296.13</v>
      </c>
    </row>
    <row r="126" spans="1:7" x14ac:dyDescent="0.35">
      <c r="A126" t="s">
        <v>255</v>
      </c>
      <c r="B126" s="1" t="s">
        <v>256</v>
      </c>
      <c r="C126" s="2">
        <f t="shared" si="1"/>
        <v>42674</v>
      </c>
      <c r="D126" t="s">
        <v>16</v>
      </c>
      <c r="E126" t="s">
        <v>13</v>
      </c>
      <c r="F126">
        <v>4469.8599999999997</v>
      </c>
      <c r="G126">
        <v>993.06</v>
      </c>
    </row>
    <row r="127" spans="1:7" x14ac:dyDescent="0.35">
      <c r="A127" t="s">
        <v>257</v>
      </c>
      <c r="B127" s="1" t="s">
        <v>258</v>
      </c>
      <c r="C127" s="2">
        <f t="shared" si="1"/>
        <v>42916</v>
      </c>
      <c r="D127" t="s">
        <v>12</v>
      </c>
      <c r="E127" t="s">
        <v>25</v>
      </c>
      <c r="F127">
        <v>3988.72</v>
      </c>
      <c r="G127">
        <v>213.17</v>
      </c>
    </row>
    <row r="128" spans="1:7" x14ac:dyDescent="0.35">
      <c r="A128" t="s">
        <v>259</v>
      </c>
      <c r="B128" s="1" t="s">
        <v>59</v>
      </c>
      <c r="C128" s="2">
        <f t="shared" si="1"/>
        <v>43190</v>
      </c>
      <c r="D128" t="s">
        <v>8</v>
      </c>
      <c r="E128" t="s">
        <v>25</v>
      </c>
      <c r="F128">
        <v>4487.8500000000004</v>
      </c>
      <c r="G128">
        <v>293.77</v>
      </c>
    </row>
    <row r="129" spans="1:7" x14ac:dyDescent="0.35">
      <c r="A129" t="s">
        <v>260</v>
      </c>
      <c r="B129" s="1" t="s">
        <v>261</v>
      </c>
      <c r="C129" s="2">
        <f t="shared" si="1"/>
        <v>43190</v>
      </c>
      <c r="D129" t="s">
        <v>37</v>
      </c>
      <c r="E129" t="s">
        <v>25</v>
      </c>
      <c r="F129">
        <v>316.25</v>
      </c>
      <c r="G129">
        <v>82.26</v>
      </c>
    </row>
    <row r="130" spans="1:7" x14ac:dyDescent="0.35">
      <c r="A130" t="s">
        <v>262</v>
      </c>
      <c r="B130" s="1" t="s">
        <v>263</v>
      </c>
      <c r="C130" s="2">
        <f t="shared" si="1"/>
        <v>42521</v>
      </c>
      <c r="D130" t="s">
        <v>16</v>
      </c>
      <c r="E130" t="s">
        <v>13</v>
      </c>
      <c r="F130">
        <v>621</v>
      </c>
      <c r="G130">
        <v>54.07</v>
      </c>
    </row>
    <row r="131" spans="1:7" x14ac:dyDescent="0.35">
      <c r="A131" t="s">
        <v>264</v>
      </c>
      <c r="B131" s="1" t="s">
        <v>265</v>
      </c>
      <c r="C131" s="2">
        <f t="shared" ref="C131:C194" si="2">EOMONTH(B131,0)</f>
        <v>43190</v>
      </c>
      <c r="D131" t="s">
        <v>8</v>
      </c>
      <c r="E131" t="s">
        <v>13</v>
      </c>
      <c r="F131">
        <v>407.72</v>
      </c>
      <c r="G131">
        <v>22.86</v>
      </c>
    </row>
    <row r="132" spans="1:7" x14ac:dyDescent="0.35">
      <c r="A132" t="s">
        <v>266</v>
      </c>
      <c r="B132" s="1" t="s">
        <v>267</v>
      </c>
      <c r="C132" s="2">
        <f t="shared" si="2"/>
        <v>43100</v>
      </c>
      <c r="D132" t="s">
        <v>37</v>
      </c>
      <c r="E132" t="s">
        <v>13</v>
      </c>
      <c r="F132">
        <v>4672.29</v>
      </c>
      <c r="G132">
        <v>458.82</v>
      </c>
    </row>
    <row r="133" spans="1:7" x14ac:dyDescent="0.35">
      <c r="A133" t="s">
        <v>268</v>
      </c>
      <c r="B133" s="1" t="s">
        <v>269</v>
      </c>
      <c r="C133" s="2">
        <f t="shared" si="2"/>
        <v>43008</v>
      </c>
      <c r="D133" t="s">
        <v>12</v>
      </c>
      <c r="E133" t="s">
        <v>25</v>
      </c>
      <c r="F133">
        <v>1765.41</v>
      </c>
      <c r="G133">
        <v>461.2</v>
      </c>
    </row>
    <row r="134" spans="1:7" x14ac:dyDescent="0.35">
      <c r="A134" t="s">
        <v>270</v>
      </c>
      <c r="B134" s="1" t="s">
        <v>271</v>
      </c>
      <c r="C134" s="2">
        <f t="shared" si="2"/>
        <v>42704</v>
      </c>
      <c r="D134" t="s">
        <v>37</v>
      </c>
      <c r="E134" t="s">
        <v>9</v>
      </c>
      <c r="F134">
        <v>3390.43</v>
      </c>
      <c r="G134">
        <v>216.72</v>
      </c>
    </row>
    <row r="135" spans="1:7" x14ac:dyDescent="0.35">
      <c r="A135" t="s">
        <v>272</v>
      </c>
      <c r="B135" s="1" t="s">
        <v>273</v>
      </c>
      <c r="C135" s="2">
        <f t="shared" si="2"/>
        <v>42735</v>
      </c>
      <c r="D135" t="s">
        <v>12</v>
      </c>
      <c r="E135" t="s">
        <v>25</v>
      </c>
      <c r="F135">
        <v>1588.1</v>
      </c>
      <c r="G135">
        <v>368.52</v>
      </c>
    </row>
    <row r="136" spans="1:7" x14ac:dyDescent="0.35">
      <c r="A136" t="s">
        <v>274</v>
      </c>
      <c r="B136" s="1" t="s">
        <v>208</v>
      </c>
      <c r="C136" s="2">
        <f t="shared" si="2"/>
        <v>42643</v>
      </c>
      <c r="D136" t="s">
        <v>16</v>
      </c>
      <c r="E136" t="s">
        <v>9</v>
      </c>
      <c r="F136">
        <v>2643.11</v>
      </c>
      <c r="G136">
        <v>367.18</v>
      </c>
    </row>
    <row r="137" spans="1:7" x14ac:dyDescent="0.35">
      <c r="A137" t="s">
        <v>275</v>
      </c>
      <c r="B137" s="1" t="s">
        <v>276</v>
      </c>
      <c r="C137" s="2">
        <f t="shared" si="2"/>
        <v>42947</v>
      </c>
      <c r="D137" t="s">
        <v>16</v>
      </c>
      <c r="E137" t="s">
        <v>13</v>
      </c>
      <c r="F137">
        <v>1457.97</v>
      </c>
      <c r="G137">
        <v>323.89999999999998</v>
      </c>
    </row>
    <row r="138" spans="1:7" x14ac:dyDescent="0.35">
      <c r="A138" t="s">
        <v>277</v>
      </c>
      <c r="B138" s="1" t="s">
        <v>278</v>
      </c>
      <c r="C138" s="2">
        <f t="shared" si="2"/>
        <v>42490</v>
      </c>
      <c r="D138" t="s">
        <v>16</v>
      </c>
      <c r="E138" t="s">
        <v>25</v>
      </c>
      <c r="F138">
        <v>1807.58</v>
      </c>
      <c r="G138">
        <v>275.16000000000003</v>
      </c>
    </row>
    <row r="139" spans="1:7" x14ac:dyDescent="0.35">
      <c r="A139" t="s">
        <v>279</v>
      </c>
      <c r="B139" s="1" t="s">
        <v>280</v>
      </c>
      <c r="C139" s="2">
        <f t="shared" si="2"/>
        <v>42460</v>
      </c>
      <c r="D139" t="s">
        <v>12</v>
      </c>
      <c r="E139" t="s">
        <v>25</v>
      </c>
      <c r="F139">
        <v>2119.12</v>
      </c>
      <c r="G139">
        <v>250.78</v>
      </c>
    </row>
    <row r="140" spans="1:7" x14ac:dyDescent="0.35">
      <c r="A140" t="s">
        <v>281</v>
      </c>
      <c r="B140" s="1" t="s">
        <v>282</v>
      </c>
      <c r="C140" s="2">
        <f t="shared" si="2"/>
        <v>42490</v>
      </c>
      <c r="D140" t="s">
        <v>12</v>
      </c>
      <c r="E140" t="s">
        <v>25</v>
      </c>
      <c r="F140">
        <v>2504.5</v>
      </c>
      <c r="G140">
        <v>291.64</v>
      </c>
    </row>
    <row r="141" spans="1:7" x14ac:dyDescent="0.35">
      <c r="A141" t="s">
        <v>283</v>
      </c>
      <c r="B141" s="1" t="s">
        <v>284</v>
      </c>
      <c r="C141" s="2">
        <f t="shared" si="2"/>
        <v>43281</v>
      </c>
      <c r="D141" t="s">
        <v>37</v>
      </c>
      <c r="E141" t="s">
        <v>13</v>
      </c>
      <c r="F141">
        <v>4363.7</v>
      </c>
      <c r="G141">
        <v>1225.8</v>
      </c>
    </row>
    <row r="142" spans="1:7" x14ac:dyDescent="0.35">
      <c r="A142" t="s">
        <v>285</v>
      </c>
      <c r="B142" s="1" t="s">
        <v>286</v>
      </c>
      <c r="C142" s="2">
        <f t="shared" si="2"/>
        <v>42794</v>
      </c>
      <c r="D142" t="s">
        <v>16</v>
      </c>
      <c r="E142" t="s">
        <v>9</v>
      </c>
      <c r="F142">
        <v>4480.59</v>
      </c>
      <c r="G142">
        <v>584.39</v>
      </c>
    </row>
    <row r="143" spans="1:7" x14ac:dyDescent="0.35">
      <c r="A143" t="s">
        <v>287</v>
      </c>
      <c r="B143" s="1" t="s">
        <v>288</v>
      </c>
      <c r="C143" s="2">
        <f t="shared" si="2"/>
        <v>42400</v>
      </c>
      <c r="D143" t="s">
        <v>8</v>
      </c>
      <c r="E143" t="s">
        <v>9</v>
      </c>
      <c r="F143">
        <v>459.34</v>
      </c>
      <c r="G143">
        <v>29.58</v>
      </c>
    </row>
    <row r="144" spans="1:7" x14ac:dyDescent="0.35">
      <c r="A144" t="s">
        <v>289</v>
      </c>
      <c r="B144" s="1" t="s">
        <v>290</v>
      </c>
      <c r="C144" s="2">
        <f t="shared" si="2"/>
        <v>42916</v>
      </c>
      <c r="D144" t="s">
        <v>8</v>
      </c>
      <c r="E144" t="s">
        <v>9</v>
      </c>
      <c r="F144">
        <v>1842.61</v>
      </c>
      <c r="G144">
        <v>484.13</v>
      </c>
    </row>
    <row r="145" spans="1:7" x14ac:dyDescent="0.35">
      <c r="A145" t="s">
        <v>291</v>
      </c>
      <c r="B145" s="1" t="s">
        <v>292</v>
      </c>
      <c r="C145" s="2">
        <f t="shared" si="2"/>
        <v>42582</v>
      </c>
      <c r="D145" t="s">
        <v>12</v>
      </c>
      <c r="E145" t="s">
        <v>13</v>
      </c>
      <c r="F145">
        <v>642.23</v>
      </c>
      <c r="G145">
        <v>156.01</v>
      </c>
    </row>
    <row r="146" spans="1:7" x14ac:dyDescent="0.35">
      <c r="A146" t="s">
        <v>293</v>
      </c>
      <c r="B146" s="1" t="s">
        <v>294</v>
      </c>
      <c r="C146" s="2">
        <f t="shared" si="2"/>
        <v>42429</v>
      </c>
      <c r="D146" t="s">
        <v>16</v>
      </c>
      <c r="E146" t="s">
        <v>25</v>
      </c>
      <c r="F146">
        <v>2358.9899999999998</v>
      </c>
      <c r="G146">
        <v>576.04999999999995</v>
      </c>
    </row>
    <row r="147" spans="1:7" x14ac:dyDescent="0.35">
      <c r="A147" t="s">
        <v>295</v>
      </c>
      <c r="B147" s="1" t="s">
        <v>296</v>
      </c>
      <c r="C147" s="2">
        <f t="shared" si="2"/>
        <v>42825</v>
      </c>
      <c r="D147" t="s">
        <v>12</v>
      </c>
      <c r="E147" t="s">
        <v>25</v>
      </c>
      <c r="F147">
        <v>2391.87</v>
      </c>
      <c r="G147">
        <v>188.79</v>
      </c>
    </row>
    <row r="148" spans="1:7" x14ac:dyDescent="0.35">
      <c r="A148" t="s">
        <v>297</v>
      </c>
      <c r="B148" s="1" t="s">
        <v>298</v>
      </c>
      <c r="C148" s="2">
        <f t="shared" si="2"/>
        <v>43312</v>
      </c>
      <c r="D148" t="s">
        <v>16</v>
      </c>
      <c r="E148" t="s">
        <v>13</v>
      </c>
      <c r="F148">
        <v>3279.28</v>
      </c>
      <c r="G148">
        <v>326.93</v>
      </c>
    </row>
    <row r="149" spans="1:7" x14ac:dyDescent="0.35">
      <c r="A149" t="s">
        <v>299</v>
      </c>
      <c r="B149" s="1" t="s">
        <v>300</v>
      </c>
      <c r="C149" s="2">
        <f t="shared" si="2"/>
        <v>42460</v>
      </c>
      <c r="D149" t="s">
        <v>12</v>
      </c>
      <c r="E149" t="s">
        <v>9</v>
      </c>
      <c r="F149">
        <v>3279.88</v>
      </c>
      <c r="G149">
        <v>416.74</v>
      </c>
    </row>
    <row r="150" spans="1:7" x14ac:dyDescent="0.35">
      <c r="A150" t="s">
        <v>301</v>
      </c>
      <c r="B150" s="1" t="s">
        <v>147</v>
      </c>
      <c r="C150" s="2">
        <f t="shared" si="2"/>
        <v>43190</v>
      </c>
      <c r="D150" t="s">
        <v>12</v>
      </c>
      <c r="E150" t="s">
        <v>25</v>
      </c>
      <c r="F150">
        <v>986.86</v>
      </c>
      <c r="G150">
        <v>262.08</v>
      </c>
    </row>
    <row r="151" spans="1:7" x14ac:dyDescent="0.35">
      <c r="A151" t="s">
        <v>302</v>
      </c>
      <c r="B151" s="1" t="s">
        <v>303</v>
      </c>
      <c r="C151" s="2">
        <f t="shared" si="2"/>
        <v>42947</v>
      </c>
      <c r="D151" t="s">
        <v>37</v>
      </c>
      <c r="E151" t="s">
        <v>9</v>
      </c>
      <c r="F151">
        <v>4634.26</v>
      </c>
      <c r="G151">
        <v>806.41</v>
      </c>
    </row>
    <row r="152" spans="1:7" x14ac:dyDescent="0.35">
      <c r="A152" t="s">
        <v>304</v>
      </c>
      <c r="B152" s="1" t="s">
        <v>305</v>
      </c>
      <c r="C152" s="2">
        <f t="shared" si="2"/>
        <v>43190</v>
      </c>
      <c r="D152" t="s">
        <v>37</v>
      </c>
      <c r="E152" t="s">
        <v>9</v>
      </c>
      <c r="F152">
        <v>707.11</v>
      </c>
      <c r="G152">
        <v>63.41</v>
      </c>
    </row>
    <row r="153" spans="1:7" x14ac:dyDescent="0.35">
      <c r="A153" t="s">
        <v>306</v>
      </c>
      <c r="B153" s="1" t="s">
        <v>307</v>
      </c>
      <c r="C153" s="2">
        <f t="shared" si="2"/>
        <v>42674</v>
      </c>
      <c r="D153" t="s">
        <v>8</v>
      </c>
      <c r="E153" t="s">
        <v>25</v>
      </c>
      <c r="F153">
        <v>3384.75</v>
      </c>
      <c r="G153">
        <v>686.89</v>
      </c>
    </row>
    <row r="154" spans="1:7" x14ac:dyDescent="0.35">
      <c r="A154" t="s">
        <v>308</v>
      </c>
      <c r="B154" s="1" t="s">
        <v>309</v>
      </c>
      <c r="C154" s="2">
        <f t="shared" si="2"/>
        <v>43039</v>
      </c>
      <c r="D154" t="s">
        <v>8</v>
      </c>
      <c r="E154" t="s">
        <v>9</v>
      </c>
      <c r="F154">
        <v>2787.54</v>
      </c>
      <c r="G154">
        <v>225.18</v>
      </c>
    </row>
    <row r="155" spans="1:7" x14ac:dyDescent="0.35">
      <c r="A155" t="s">
        <v>310</v>
      </c>
      <c r="B155" s="1" t="s">
        <v>311</v>
      </c>
      <c r="C155" s="2">
        <f t="shared" si="2"/>
        <v>42490</v>
      </c>
      <c r="D155" t="s">
        <v>37</v>
      </c>
      <c r="E155" t="s">
        <v>25</v>
      </c>
      <c r="F155">
        <v>3357.47</v>
      </c>
      <c r="G155">
        <v>419.11</v>
      </c>
    </row>
    <row r="156" spans="1:7" x14ac:dyDescent="0.35">
      <c r="A156" t="s">
        <v>312</v>
      </c>
      <c r="B156" s="1" t="s">
        <v>313</v>
      </c>
      <c r="C156" s="2">
        <f t="shared" si="2"/>
        <v>43281</v>
      </c>
      <c r="D156" t="s">
        <v>12</v>
      </c>
      <c r="E156" t="s">
        <v>9</v>
      </c>
      <c r="F156">
        <v>4419.7700000000004</v>
      </c>
      <c r="G156">
        <v>295.79000000000002</v>
      </c>
    </row>
    <row r="157" spans="1:7" x14ac:dyDescent="0.35">
      <c r="A157" t="s">
        <v>314</v>
      </c>
      <c r="B157" s="1" t="s">
        <v>315</v>
      </c>
      <c r="C157" s="2">
        <f t="shared" si="2"/>
        <v>42855</v>
      </c>
      <c r="D157" t="s">
        <v>16</v>
      </c>
      <c r="E157" t="s">
        <v>9</v>
      </c>
      <c r="F157">
        <v>3690.27</v>
      </c>
      <c r="G157">
        <v>321.02</v>
      </c>
    </row>
    <row r="158" spans="1:7" x14ac:dyDescent="0.35">
      <c r="A158" t="s">
        <v>316</v>
      </c>
      <c r="B158" s="1" t="s">
        <v>311</v>
      </c>
      <c r="C158" s="2">
        <f t="shared" si="2"/>
        <v>42490</v>
      </c>
      <c r="D158" t="s">
        <v>8</v>
      </c>
      <c r="E158" t="s">
        <v>25</v>
      </c>
      <c r="F158">
        <v>2275.9299999999998</v>
      </c>
      <c r="G158">
        <v>276.24</v>
      </c>
    </row>
    <row r="159" spans="1:7" x14ac:dyDescent="0.35">
      <c r="A159" t="s">
        <v>317</v>
      </c>
      <c r="B159" s="1" t="s">
        <v>318</v>
      </c>
      <c r="C159" s="2">
        <f t="shared" si="2"/>
        <v>42825</v>
      </c>
      <c r="D159" t="s">
        <v>37</v>
      </c>
      <c r="E159" t="s">
        <v>13</v>
      </c>
      <c r="F159">
        <v>1845.23</v>
      </c>
      <c r="G159">
        <v>326.76</v>
      </c>
    </row>
    <row r="160" spans="1:7" x14ac:dyDescent="0.35">
      <c r="A160" t="s">
        <v>319</v>
      </c>
      <c r="B160" s="1" t="s">
        <v>320</v>
      </c>
      <c r="C160" s="2">
        <f t="shared" si="2"/>
        <v>42429</v>
      </c>
      <c r="D160" t="s">
        <v>8</v>
      </c>
      <c r="E160" t="s">
        <v>9</v>
      </c>
      <c r="F160">
        <v>3180.65</v>
      </c>
      <c r="G160">
        <v>873.61</v>
      </c>
    </row>
    <row r="161" spans="1:7" x14ac:dyDescent="0.35">
      <c r="A161" t="s">
        <v>321</v>
      </c>
      <c r="B161" s="1" t="s">
        <v>322</v>
      </c>
      <c r="C161" s="2">
        <f t="shared" si="2"/>
        <v>43159</v>
      </c>
      <c r="D161" t="s">
        <v>37</v>
      </c>
      <c r="E161" t="s">
        <v>13</v>
      </c>
      <c r="F161">
        <v>4329.03</v>
      </c>
      <c r="G161">
        <v>442.91</v>
      </c>
    </row>
    <row r="162" spans="1:7" x14ac:dyDescent="0.35">
      <c r="A162" t="s">
        <v>323</v>
      </c>
      <c r="B162" s="1" t="s">
        <v>324</v>
      </c>
      <c r="C162" s="2">
        <f t="shared" si="2"/>
        <v>42735</v>
      </c>
      <c r="D162" t="s">
        <v>16</v>
      </c>
      <c r="E162" t="s">
        <v>25</v>
      </c>
      <c r="F162">
        <v>2502.34</v>
      </c>
      <c r="G162">
        <v>271.91000000000003</v>
      </c>
    </row>
    <row r="163" spans="1:7" x14ac:dyDescent="0.35">
      <c r="A163" t="s">
        <v>325</v>
      </c>
      <c r="B163" s="1" t="s">
        <v>326</v>
      </c>
      <c r="C163" s="2">
        <f t="shared" si="2"/>
        <v>42916</v>
      </c>
      <c r="D163" t="s">
        <v>8</v>
      </c>
      <c r="E163" t="s">
        <v>13</v>
      </c>
      <c r="F163">
        <v>1016.14</v>
      </c>
      <c r="G163">
        <v>126.72</v>
      </c>
    </row>
    <row r="164" spans="1:7" x14ac:dyDescent="0.35">
      <c r="A164" t="s">
        <v>327</v>
      </c>
      <c r="B164" s="1" t="s">
        <v>328</v>
      </c>
      <c r="C164" s="2">
        <f t="shared" si="2"/>
        <v>42643</v>
      </c>
      <c r="D164" t="s">
        <v>16</v>
      </c>
      <c r="E164" t="s">
        <v>13</v>
      </c>
      <c r="F164">
        <v>4147.67</v>
      </c>
      <c r="G164">
        <v>670.61</v>
      </c>
    </row>
    <row r="165" spans="1:7" x14ac:dyDescent="0.35">
      <c r="A165" t="s">
        <v>329</v>
      </c>
      <c r="B165" s="1" t="s">
        <v>330</v>
      </c>
      <c r="C165" s="2">
        <f t="shared" si="2"/>
        <v>42916</v>
      </c>
      <c r="D165" t="s">
        <v>8</v>
      </c>
      <c r="E165" t="s">
        <v>13</v>
      </c>
      <c r="F165">
        <v>1241.9100000000001</v>
      </c>
      <c r="G165">
        <v>249.74</v>
      </c>
    </row>
    <row r="166" spans="1:7" x14ac:dyDescent="0.35">
      <c r="A166" t="s">
        <v>331</v>
      </c>
      <c r="B166" s="1" t="s">
        <v>332</v>
      </c>
      <c r="C166" s="2">
        <f t="shared" si="2"/>
        <v>42613</v>
      </c>
      <c r="D166" t="s">
        <v>37</v>
      </c>
      <c r="E166" t="s">
        <v>9</v>
      </c>
      <c r="F166">
        <v>2478.7600000000002</v>
      </c>
      <c r="G166">
        <v>442.06</v>
      </c>
    </row>
    <row r="167" spans="1:7" x14ac:dyDescent="0.35">
      <c r="A167" t="s">
        <v>333</v>
      </c>
      <c r="B167" s="1" t="s">
        <v>334</v>
      </c>
      <c r="C167" s="2">
        <f t="shared" si="2"/>
        <v>42886</v>
      </c>
      <c r="D167" t="s">
        <v>8</v>
      </c>
      <c r="E167" t="s">
        <v>9</v>
      </c>
      <c r="F167">
        <v>4066.88</v>
      </c>
      <c r="G167">
        <v>1200.78</v>
      </c>
    </row>
    <row r="168" spans="1:7" x14ac:dyDescent="0.35">
      <c r="A168" t="s">
        <v>335</v>
      </c>
      <c r="B168" s="1" t="s">
        <v>69</v>
      </c>
      <c r="C168" s="2">
        <f t="shared" si="2"/>
        <v>43373</v>
      </c>
      <c r="D168" t="s">
        <v>8</v>
      </c>
      <c r="E168" t="s">
        <v>25</v>
      </c>
      <c r="F168">
        <v>2850.12</v>
      </c>
      <c r="G168">
        <v>632.98</v>
      </c>
    </row>
    <row r="169" spans="1:7" x14ac:dyDescent="0.35">
      <c r="A169" t="s">
        <v>336</v>
      </c>
      <c r="B169" s="1" t="s">
        <v>337</v>
      </c>
      <c r="C169" s="2">
        <f t="shared" si="2"/>
        <v>42704</v>
      </c>
      <c r="D169" t="s">
        <v>37</v>
      </c>
      <c r="E169" t="s">
        <v>25</v>
      </c>
      <c r="F169">
        <v>3568.85</v>
      </c>
      <c r="G169">
        <v>1002.43</v>
      </c>
    </row>
    <row r="170" spans="1:7" x14ac:dyDescent="0.35">
      <c r="A170" t="s">
        <v>338</v>
      </c>
      <c r="B170" s="1" t="s">
        <v>339</v>
      </c>
      <c r="C170" s="2">
        <f t="shared" si="2"/>
        <v>42490</v>
      </c>
      <c r="D170" t="s">
        <v>37</v>
      </c>
      <c r="E170" t="s">
        <v>9</v>
      </c>
      <c r="F170">
        <v>1471.08</v>
      </c>
      <c r="G170">
        <v>397.9</v>
      </c>
    </row>
    <row r="171" spans="1:7" x14ac:dyDescent="0.35">
      <c r="A171" t="s">
        <v>340</v>
      </c>
      <c r="B171" s="1" t="s">
        <v>341</v>
      </c>
      <c r="C171" s="2">
        <f t="shared" si="2"/>
        <v>43251</v>
      </c>
      <c r="D171" t="s">
        <v>12</v>
      </c>
      <c r="E171" t="s">
        <v>9</v>
      </c>
      <c r="F171">
        <v>2263.77</v>
      </c>
      <c r="G171">
        <v>335.9</v>
      </c>
    </row>
    <row r="172" spans="1:7" x14ac:dyDescent="0.35">
      <c r="A172" t="s">
        <v>342</v>
      </c>
      <c r="B172" s="1" t="s">
        <v>343</v>
      </c>
      <c r="C172" s="2">
        <f t="shared" si="2"/>
        <v>42825</v>
      </c>
      <c r="D172" t="s">
        <v>37</v>
      </c>
      <c r="E172" t="s">
        <v>25</v>
      </c>
      <c r="F172">
        <v>4535.2700000000004</v>
      </c>
      <c r="G172">
        <v>1107.47</v>
      </c>
    </row>
    <row r="173" spans="1:7" x14ac:dyDescent="0.35">
      <c r="A173" t="s">
        <v>344</v>
      </c>
      <c r="B173" s="1" t="s">
        <v>345</v>
      </c>
      <c r="C173" s="2">
        <f t="shared" si="2"/>
        <v>42916</v>
      </c>
      <c r="D173" t="s">
        <v>37</v>
      </c>
      <c r="E173" t="s">
        <v>25</v>
      </c>
      <c r="F173">
        <v>4803.75</v>
      </c>
      <c r="G173">
        <v>561.74</v>
      </c>
    </row>
    <row r="174" spans="1:7" x14ac:dyDescent="0.35">
      <c r="A174" t="s">
        <v>346</v>
      </c>
      <c r="B174" s="1" t="s">
        <v>347</v>
      </c>
      <c r="C174" s="2">
        <f t="shared" si="2"/>
        <v>42766</v>
      </c>
      <c r="D174" t="s">
        <v>12</v>
      </c>
      <c r="E174" t="s">
        <v>13</v>
      </c>
      <c r="F174">
        <v>737.21</v>
      </c>
      <c r="G174">
        <v>165.19</v>
      </c>
    </row>
    <row r="175" spans="1:7" x14ac:dyDescent="0.35">
      <c r="A175" t="s">
        <v>348</v>
      </c>
      <c r="B175" s="1" t="s">
        <v>349</v>
      </c>
      <c r="C175" s="2">
        <f t="shared" si="2"/>
        <v>42460</v>
      </c>
      <c r="D175" t="s">
        <v>16</v>
      </c>
      <c r="E175" t="s">
        <v>13</v>
      </c>
      <c r="F175">
        <v>3713.28</v>
      </c>
      <c r="G175">
        <v>709.44</v>
      </c>
    </row>
    <row r="176" spans="1:7" x14ac:dyDescent="0.35">
      <c r="A176" t="s">
        <v>350</v>
      </c>
      <c r="B176" s="1" t="s">
        <v>351</v>
      </c>
      <c r="C176" s="2">
        <f t="shared" si="2"/>
        <v>42460</v>
      </c>
      <c r="D176" t="s">
        <v>8</v>
      </c>
      <c r="E176" t="s">
        <v>9</v>
      </c>
      <c r="F176">
        <v>838.1</v>
      </c>
      <c r="G176">
        <v>112.63</v>
      </c>
    </row>
    <row r="177" spans="1:7" x14ac:dyDescent="0.35">
      <c r="A177" t="s">
        <v>352</v>
      </c>
      <c r="B177" s="1" t="s">
        <v>353</v>
      </c>
      <c r="C177" s="2">
        <f t="shared" si="2"/>
        <v>42855</v>
      </c>
      <c r="D177" t="s">
        <v>16</v>
      </c>
      <c r="E177" t="s">
        <v>25</v>
      </c>
      <c r="F177">
        <v>230.06</v>
      </c>
      <c r="G177">
        <v>16.09</v>
      </c>
    </row>
    <row r="178" spans="1:7" x14ac:dyDescent="0.35">
      <c r="A178" t="s">
        <v>354</v>
      </c>
      <c r="B178" s="1" t="s">
        <v>355</v>
      </c>
      <c r="C178" s="2">
        <f t="shared" si="2"/>
        <v>43312</v>
      </c>
      <c r="D178" t="s">
        <v>8</v>
      </c>
      <c r="E178" t="s">
        <v>9</v>
      </c>
      <c r="F178">
        <v>2585.34</v>
      </c>
      <c r="G178">
        <v>427.52</v>
      </c>
    </row>
    <row r="179" spans="1:7" x14ac:dyDescent="0.35">
      <c r="A179" t="s">
        <v>356</v>
      </c>
      <c r="B179" s="1" t="s">
        <v>357</v>
      </c>
      <c r="C179" s="2">
        <f t="shared" si="2"/>
        <v>42794</v>
      </c>
      <c r="D179" t="s">
        <v>8</v>
      </c>
      <c r="E179" t="s">
        <v>9</v>
      </c>
      <c r="F179">
        <v>245.56</v>
      </c>
      <c r="G179">
        <v>27.52</v>
      </c>
    </row>
    <row r="180" spans="1:7" x14ac:dyDescent="0.35">
      <c r="A180" t="s">
        <v>358</v>
      </c>
      <c r="B180" s="1" t="s">
        <v>359</v>
      </c>
      <c r="C180" s="2">
        <f t="shared" si="2"/>
        <v>43039</v>
      </c>
      <c r="D180" t="s">
        <v>12</v>
      </c>
      <c r="E180" t="s">
        <v>13</v>
      </c>
      <c r="F180">
        <v>100.97</v>
      </c>
      <c r="G180">
        <v>6.24</v>
      </c>
    </row>
    <row r="181" spans="1:7" x14ac:dyDescent="0.35">
      <c r="A181" t="s">
        <v>360</v>
      </c>
      <c r="B181" s="1" t="s">
        <v>361</v>
      </c>
      <c r="C181" s="2">
        <f t="shared" si="2"/>
        <v>42947</v>
      </c>
      <c r="D181" t="s">
        <v>12</v>
      </c>
      <c r="E181" t="s">
        <v>13</v>
      </c>
      <c r="F181">
        <v>3204.41</v>
      </c>
      <c r="G181">
        <v>935.78</v>
      </c>
    </row>
    <row r="182" spans="1:7" x14ac:dyDescent="0.35">
      <c r="A182" t="s">
        <v>362</v>
      </c>
      <c r="B182" s="1" t="s">
        <v>363</v>
      </c>
      <c r="C182" s="2">
        <f t="shared" si="2"/>
        <v>43069</v>
      </c>
      <c r="D182" t="s">
        <v>37</v>
      </c>
      <c r="E182" t="s">
        <v>9</v>
      </c>
      <c r="F182">
        <v>4707.32</v>
      </c>
      <c r="G182">
        <v>520.29999999999995</v>
      </c>
    </row>
    <row r="183" spans="1:7" x14ac:dyDescent="0.35">
      <c r="A183" t="s">
        <v>364</v>
      </c>
      <c r="B183" s="1" t="s">
        <v>363</v>
      </c>
      <c r="C183" s="2">
        <f t="shared" si="2"/>
        <v>43069</v>
      </c>
      <c r="D183" t="s">
        <v>16</v>
      </c>
      <c r="E183" t="s">
        <v>9</v>
      </c>
      <c r="F183">
        <v>3493.28</v>
      </c>
      <c r="G183">
        <v>270.64999999999998</v>
      </c>
    </row>
    <row r="184" spans="1:7" x14ac:dyDescent="0.35">
      <c r="A184" t="s">
        <v>365</v>
      </c>
      <c r="B184" s="1" t="s">
        <v>366</v>
      </c>
      <c r="C184" s="2">
        <f t="shared" si="2"/>
        <v>42886</v>
      </c>
      <c r="D184" t="s">
        <v>16</v>
      </c>
      <c r="E184" t="s">
        <v>9</v>
      </c>
      <c r="F184">
        <v>3122.59</v>
      </c>
      <c r="G184">
        <v>765.71</v>
      </c>
    </row>
    <row r="185" spans="1:7" x14ac:dyDescent="0.35">
      <c r="A185" t="s">
        <v>367</v>
      </c>
      <c r="B185" s="1" t="s">
        <v>273</v>
      </c>
      <c r="C185" s="2">
        <f t="shared" si="2"/>
        <v>42735</v>
      </c>
      <c r="D185" t="s">
        <v>37</v>
      </c>
      <c r="E185" t="s">
        <v>9</v>
      </c>
      <c r="F185">
        <v>3792.52</v>
      </c>
      <c r="G185">
        <v>270.13</v>
      </c>
    </row>
    <row r="186" spans="1:7" x14ac:dyDescent="0.35">
      <c r="A186" t="s">
        <v>368</v>
      </c>
      <c r="B186" s="1" t="s">
        <v>369</v>
      </c>
      <c r="C186" s="2">
        <f t="shared" si="2"/>
        <v>43159</v>
      </c>
      <c r="D186" t="s">
        <v>8</v>
      </c>
      <c r="E186" t="s">
        <v>13</v>
      </c>
      <c r="F186">
        <v>2383.7199999999998</v>
      </c>
      <c r="G186">
        <v>563.59</v>
      </c>
    </row>
    <row r="187" spans="1:7" x14ac:dyDescent="0.35">
      <c r="A187" t="s">
        <v>370</v>
      </c>
      <c r="B187" s="1" t="s">
        <v>371</v>
      </c>
      <c r="C187" s="2">
        <f t="shared" si="2"/>
        <v>43100</v>
      </c>
      <c r="D187" t="s">
        <v>12</v>
      </c>
      <c r="E187" t="s">
        <v>9</v>
      </c>
      <c r="F187">
        <v>1073.54</v>
      </c>
      <c r="G187">
        <v>282.26</v>
      </c>
    </row>
    <row r="188" spans="1:7" x14ac:dyDescent="0.35">
      <c r="A188" t="s">
        <v>372</v>
      </c>
      <c r="B188" s="1" t="s">
        <v>373</v>
      </c>
      <c r="C188" s="2">
        <f t="shared" si="2"/>
        <v>43220</v>
      </c>
      <c r="D188" t="s">
        <v>12</v>
      </c>
      <c r="E188" t="s">
        <v>25</v>
      </c>
      <c r="F188">
        <v>3325.18</v>
      </c>
      <c r="G188">
        <v>969.57</v>
      </c>
    </row>
    <row r="189" spans="1:7" x14ac:dyDescent="0.35">
      <c r="A189" t="s">
        <v>374</v>
      </c>
      <c r="B189" s="1" t="s">
        <v>375</v>
      </c>
      <c r="C189" s="2">
        <f t="shared" si="2"/>
        <v>42735</v>
      </c>
      <c r="D189" t="s">
        <v>12</v>
      </c>
      <c r="E189" t="s">
        <v>13</v>
      </c>
      <c r="F189">
        <v>2074.36</v>
      </c>
      <c r="G189">
        <v>447.07</v>
      </c>
    </row>
    <row r="190" spans="1:7" x14ac:dyDescent="0.35">
      <c r="A190" t="s">
        <v>376</v>
      </c>
      <c r="B190" s="1" t="s">
        <v>377</v>
      </c>
      <c r="C190" s="2">
        <f t="shared" si="2"/>
        <v>42704</v>
      </c>
      <c r="D190" t="s">
        <v>16</v>
      </c>
      <c r="E190" t="s">
        <v>13</v>
      </c>
      <c r="F190">
        <v>300.57</v>
      </c>
      <c r="G190">
        <v>37.33</v>
      </c>
    </row>
    <row r="191" spans="1:7" x14ac:dyDescent="0.35">
      <c r="A191" t="s">
        <v>378</v>
      </c>
      <c r="B191" s="1" t="s">
        <v>379</v>
      </c>
      <c r="C191" s="2">
        <f t="shared" si="2"/>
        <v>43373</v>
      </c>
      <c r="D191" t="s">
        <v>37</v>
      </c>
      <c r="E191" t="s">
        <v>13</v>
      </c>
      <c r="F191">
        <v>3546.06</v>
      </c>
      <c r="G191">
        <v>999.69</v>
      </c>
    </row>
    <row r="192" spans="1:7" x14ac:dyDescent="0.35">
      <c r="A192" t="s">
        <v>380</v>
      </c>
      <c r="B192" s="1" t="s">
        <v>381</v>
      </c>
      <c r="C192" s="2">
        <f t="shared" si="2"/>
        <v>42916</v>
      </c>
      <c r="D192" t="s">
        <v>16</v>
      </c>
      <c r="E192" t="s">
        <v>9</v>
      </c>
      <c r="F192">
        <v>761.44</v>
      </c>
      <c r="G192">
        <v>203.81</v>
      </c>
    </row>
    <row r="193" spans="1:7" x14ac:dyDescent="0.35">
      <c r="A193" t="s">
        <v>382</v>
      </c>
      <c r="B193" s="1" t="s">
        <v>383</v>
      </c>
      <c r="C193" s="2">
        <f t="shared" si="2"/>
        <v>42674</v>
      </c>
      <c r="D193" t="s">
        <v>8</v>
      </c>
      <c r="E193" t="s">
        <v>9</v>
      </c>
      <c r="F193">
        <v>2494.42</v>
      </c>
      <c r="G193">
        <v>425.59</v>
      </c>
    </row>
    <row r="194" spans="1:7" x14ac:dyDescent="0.35">
      <c r="A194" t="s">
        <v>384</v>
      </c>
      <c r="B194" s="1" t="s">
        <v>385</v>
      </c>
      <c r="C194" s="2">
        <f t="shared" si="2"/>
        <v>43131</v>
      </c>
      <c r="D194" t="s">
        <v>8</v>
      </c>
      <c r="E194" t="s">
        <v>25</v>
      </c>
      <c r="F194">
        <v>1483.61</v>
      </c>
      <c r="G194">
        <v>80.8</v>
      </c>
    </row>
    <row r="195" spans="1:7" x14ac:dyDescent="0.35">
      <c r="A195" t="s">
        <v>386</v>
      </c>
      <c r="B195" s="1" t="s">
        <v>387</v>
      </c>
      <c r="C195" s="2">
        <f t="shared" ref="C195:C258" si="3">EOMONTH(B195,0)</f>
        <v>43131</v>
      </c>
      <c r="D195" t="s">
        <v>16</v>
      </c>
      <c r="E195" t="s">
        <v>9</v>
      </c>
      <c r="F195">
        <v>1350.11</v>
      </c>
      <c r="G195">
        <v>98.1</v>
      </c>
    </row>
    <row r="196" spans="1:7" x14ac:dyDescent="0.35">
      <c r="A196" t="s">
        <v>388</v>
      </c>
      <c r="B196" s="1" t="s">
        <v>389</v>
      </c>
      <c r="C196" s="2">
        <f t="shared" si="3"/>
        <v>42551</v>
      </c>
      <c r="D196" t="s">
        <v>37</v>
      </c>
      <c r="E196" t="s">
        <v>25</v>
      </c>
      <c r="F196">
        <v>4176.18</v>
      </c>
      <c r="G196">
        <v>513.77</v>
      </c>
    </row>
    <row r="197" spans="1:7" x14ac:dyDescent="0.35">
      <c r="A197" t="s">
        <v>390</v>
      </c>
      <c r="B197" s="1" t="s">
        <v>391</v>
      </c>
      <c r="C197" s="2">
        <f t="shared" si="3"/>
        <v>43281</v>
      </c>
      <c r="D197" t="s">
        <v>8</v>
      </c>
      <c r="E197" t="s">
        <v>13</v>
      </c>
      <c r="F197">
        <v>4135.92</v>
      </c>
      <c r="G197">
        <v>959.51</v>
      </c>
    </row>
    <row r="198" spans="1:7" x14ac:dyDescent="0.35">
      <c r="A198" t="s">
        <v>392</v>
      </c>
      <c r="B198" s="1" t="s">
        <v>393</v>
      </c>
      <c r="C198" s="2">
        <f t="shared" si="3"/>
        <v>42460</v>
      </c>
      <c r="D198" t="s">
        <v>37</v>
      </c>
      <c r="E198" t="s">
        <v>9</v>
      </c>
      <c r="F198">
        <v>2651.15</v>
      </c>
      <c r="G198">
        <v>679.72</v>
      </c>
    </row>
    <row r="199" spans="1:7" x14ac:dyDescent="0.35">
      <c r="A199" t="s">
        <v>394</v>
      </c>
      <c r="B199" s="1" t="s">
        <v>65</v>
      </c>
      <c r="C199" s="2">
        <f t="shared" si="3"/>
        <v>42582</v>
      </c>
      <c r="D199" t="s">
        <v>16</v>
      </c>
      <c r="E199" t="s">
        <v>13</v>
      </c>
      <c r="F199">
        <v>3428.04</v>
      </c>
      <c r="G199">
        <v>242.41</v>
      </c>
    </row>
    <row r="200" spans="1:7" x14ac:dyDescent="0.35">
      <c r="A200" t="s">
        <v>395</v>
      </c>
      <c r="B200" s="1" t="s">
        <v>396</v>
      </c>
      <c r="C200" s="2">
        <f t="shared" si="3"/>
        <v>42460</v>
      </c>
      <c r="D200" t="s">
        <v>8</v>
      </c>
      <c r="E200" t="s">
        <v>13</v>
      </c>
      <c r="F200">
        <v>2961.27</v>
      </c>
      <c r="G200">
        <v>794.66</v>
      </c>
    </row>
    <row r="201" spans="1:7" x14ac:dyDescent="0.35">
      <c r="A201" t="s">
        <v>397</v>
      </c>
      <c r="B201" s="1" t="s">
        <v>183</v>
      </c>
      <c r="C201" s="2">
        <f t="shared" si="3"/>
        <v>42613</v>
      </c>
      <c r="D201" t="s">
        <v>8</v>
      </c>
      <c r="E201" t="s">
        <v>13</v>
      </c>
      <c r="F201">
        <v>685.95</v>
      </c>
      <c r="G201">
        <v>44.46</v>
      </c>
    </row>
    <row r="202" spans="1:7" x14ac:dyDescent="0.35">
      <c r="A202" t="s">
        <v>398</v>
      </c>
      <c r="B202" s="1" t="s">
        <v>399</v>
      </c>
      <c r="C202" s="2">
        <f t="shared" si="3"/>
        <v>43100</v>
      </c>
      <c r="D202" t="s">
        <v>16</v>
      </c>
      <c r="E202" t="s">
        <v>25</v>
      </c>
      <c r="F202">
        <v>4756.59</v>
      </c>
      <c r="G202">
        <v>248.05</v>
      </c>
    </row>
    <row r="203" spans="1:7" x14ac:dyDescent="0.35">
      <c r="A203" t="s">
        <v>400</v>
      </c>
      <c r="B203" s="1" t="s">
        <v>401</v>
      </c>
      <c r="C203" s="2">
        <f t="shared" si="3"/>
        <v>43343</v>
      </c>
      <c r="D203" t="s">
        <v>12</v>
      </c>
      <c r="E203" t="s">
        <v>13</v>
      </c>
      <c r="F203">
        <v>3441.08</v>
      </c>
      <c r="G203">
        <v>943.59</v>
      </c>
    </row>
    <row r="204" spans="1:7" x14ac:dyDescent="0.35">
      <c r="A204" t="s">
        <v>402</v>
      </c>
      <c r="B204" s="1" t="s">
        <v>403</v>
      </c>
      <c r="C204" s="2">
        <f t="shared" si="3"/>
        <v>42551</v>
      </c>
      <c r="D204" t="s">
        <v>12</v>
      </c>
      <c r="E204" t="s">
        <v>13</v>
      </c>
      <c r="F204">
        <v>1947.77</v>
      </c>
      <c r="G204">
        <v>117.35</v>
      </c>
    </row>
    <row r="205" spans="1:7" x14ac:dyDescent="0.35">
      <c r="A205" t="s">
        <v>404</v>
      </c>
      <c r="B205" s="1" t="s">
        <v>405</v>
      </c>
      <c r="C205" s="2">
        <f t="shared" si="3"/>
        <v>42947</v>
      </c>
      <c r="D205" t="s">
        <v>37</v>
      </c>
      <c r="E205" t="s">
        <v>9</v>
      </c>
      <c r="F205">
        <v>2884.67</v>
      </c>
      <c r="G205">
        <v>559.54</v>
      </c>
    </row>
    <row r="206" spans="1:7" x14ac:dyDescent="0.35">
      <c r="A206" t="s">
        <v>406</v>
      </c>
      <c r="B206" s="1" t="s">
        <v>407</v>
      </c>
      <c r="C206" s="2">
        <f t="shared" si="3"/>
        <v>43251</v>
      </c>
      <c r="D206" t="s">
        <v>8</v>
      </c>
      <c r="E206" t="s">
        <v>13</v>
      </c>
      <c r="F206">
        <v>4415.4799999999996</v>
      </c>
      <c r="G206">
        <v>694.89</v>
      </c>
    </row>
    <row r="207" spans="1:7" x14ac:dyDescent="0.35">
      <c r="A207" t="s">
        <v>408</v>
      </c>
      <c r="B207" s="1" t="s">
        <v>409</v>
      </c>
      <c r="C207" s="2">
        <f t="shared" si="3"/>
        <v>42886</v>
      </c>
      <c r="D207" t="s">
        <v>12</v>
      </c>
      <c r="E207" t="s">
        <v>25</v>
      </c>
      <c r="F207">
        <v>2932.18</v>
      </c>
      <c r="G207">
        <v>170.93</v>
      </c>
    </row>
    <row r="208" spans="1:7" x14ac:dyDescent="0.35">
      <c r="A208" t="s">
        <v>410</v>
      </c>
      <c r="B208" s="1" t="s">
        <v>411</v>
      </c>
      <c r="C208" s="2">
        <f t="shared" si="3"/>
        <v>43159</v>
      </c>
      <c r="D208" t="s">
        <v>12</v>
      </c>
      <c r="E208" t="s">
        <v>13</v>
      </c>
      <c r="F208">
        <v>2883.7</v>
      </c>
      <c r="G208">
        <v>659.65</v>
      </c>
    </row>
    <row r="209" spans="1:7" x14ac:dyDescent="0.35">
      <c r="A209" t="s">
        <v>412</v>
      </c>
      <c r="B209" s="1" t="s">
        <v>413</v>
      </c>
      <c r="C209" s="2">
        <f t="shared" si="3"/>
        <v>42794</v>
      </c>
      <c r="D209" t="s">
        <v>8</v>
      </c>
      <c r="E209" t="s">
        <v>9</v>
      </c>
      <c r="F209">
        <v>4941.8500000000004</v>
      </c>
      <c r="G209">
        <v>1218.44</v>
      </c>
    </row>
    <row r="210" spans="1:7" x14ac:dyDescent="0.35">
      <c r="A210" t="s">
        <v>414</v>
      </c>
      <c r="B210" s="1" t="s">
        <v>415</v>
      </c>
      <c r="C210" s="2">
        <f t="shared" si="3"/>
        <v>43100</v>
      </c>
      <c r="D210" t="s">
        <v>16</v>
      </c>
      <c r="E210" t="s">
        <v>13</v>
      </c>
      <c r="F210">
        <v>1580.07</v>
      </c>
      <c r="G210">
        <v>226.82</v>
      </c>
    </row>
    <row r="211" spans="1:7" x14ac:dyDescent="0.35">
      <c r="A211" t="s">
        <v>416</v>
      </c>
      <c r="B211" s="1" t="s">
        <v>417</v>
      </c>
      <c r="C211" s="2">
        <f t="shared" si="3"/>
        <v>42916</v>
      </c>
      <c r="D211" t="s">
        <v>8</v>
      </c>
      <c r="E211" t="s">
        <v>9</v>
      </c>
      <c r="F211">
        <v>4656.55</v>
      </c>
      <c r="G211">
        <v>816.33</v>
      </c>
    </row>
    <row r="212" spans="1:7" x14ac:dyDescent="0.35">
      <c r="A212" t="s">
        <v>418</v>
      </c>
      <c r="B212" s="1" t="s">
        <v>419</v>
      </c>
      <c r="C212" s="2">
        <f t="shared" si="3"/>
        <v>42551</v>
      </c>
      <c r="D212" t="s">
        <v>8</v>
      </c>
      <c r="E212" t="s">
        <v>13</v>
      </c>
      <c r="F212">
        <v>323.62</v>
      </c>
      <c r="G212">
        <v>35.840000000000003</v>
      </c>
    </row>
    <row r="213" spans="1:7" x14ac:dyDescent="0.35">
      <c r="A213" t="s">
        <v>420</v>
      </c>
      <c r="B213" s="1" t="s">
        <v>421</v>
      </c>
      <c r="C213" s="2">
        <f t="shared" si="3"/>
        <v>43251</v>
      </c>
      <c r="D213" t="s">
        <v>12</v>
      </c>
      <c r="E213" t="s">
        <v>9</v>
      </c>
      <c r="F213">
        <v>3807.41</v>
      </c>
      <c r="G213">
        <v>1022.36</v>
      </c>
    </row>
    <row r="214" spans="1:7" x14ac:dyDescent="0.35">
      <c r="A214" t="s">
        <v>422</v>
      </c>
      <c r="B214" s="1" t="s">
        <v>423</v>
      </c>
      <c r="C214" s="2">
        <f t="shared" si="3"/>
        <v>43251</v>
      </c>
      <c r="D214" t="s">
        <v>12</v>
      </c>
      <c r="E214" t="s">
        <v>25</v>
      </c>
      <c r="F214">
        <v>793.21</v>
      </c>
      <c r="G214">
        <v>122.22</v>
      </c>
    </row>
    <row r="215" spans="1:7" x14ac:dyDescent="0.35">
      <c r="A215" t="s">
        <v>424</v>
      </c>
      <c r="B215" s="1" t="s">
        <v>425</v>
      </c>
      <c r="C215" s="2">
        <f t="shared" si="3"/>
        <v>42735</v>
      </c>
      <c r="D215" t="s">
        <v>16</v>
      </c>
      <c r="E215" t="s">
        <v>25</v>
      </c>
      <c r="F215">
        <v>543.05999999999995</v>
      </c>
      <c r="G215">
        <v>53.26</v>
      </c>
    </row>
    <row r="216" spans="1:7" x14ac:dyDescent="0.35">
      <c r="A216" t="s">
        <v>426</v>
      </c>
      <c r="B216" s="1" t="s">
        <v>427</v>
      </c>
      <c r="C216" s="2">
        <f t="shared" si="3"/>
        <v>43312</v>
      </c>
      <c r="D216" t="s">
        <v>37</v>
      </c>
      <c r="E216" t="s">
        <v>25</v>
      </c>
      <c r="F216">
        <v>1806.22</v>
      </c>
      <c r="G216">
        <v>436.82</v>
      </c>
    </row>
    <row r="217" spans="1:7" x14ac:dyDescent="0.35">
      <c r="A217" t="s">
        <v>428</v>
      </c>
      <c r="B217" s="1" t="s">
        <v>429</v>
      </c>
      <c r="C217" s="2">
        <f t="shared" si="3"/>
        <v>42825</v>
      </c>
      <c r="D217" t="s">
        <v>8</v>
      </c>
      <c r="E217" t="s">
        <v>13</v>
      </c>
      <c r="F217">
        <v>401.65</v>
      </c>
      <c r="G217">
        <v>45.98</v>
      </c>
    </row>
    <row r="218" spans="1:7" x14ac:dyDescent="0.35">
      <c r="A218" t="s">
        <v>430</v>
      </c>
      <c r="B218" s="1" t="s">
        <v>431</v>
      </c>
      <c r="C218" s="2">
        <f t="shared" si="3"/>
        <v>42400</v>
      </c>
      <c r="D218" t="s">
        <v>8</v>
      </c>
      <c r="E218" t="s">
        <v>25</v>
      </c>
      <c r="F218">
        <v>1515.03</v>
      </c>
      <c r="G218">
        <v>269.32</v>
      </c>
    </row>
    <row r="219" spans="1:7" x14ac:dyDescent="0.35">
      <c r="A219" t="s">
        <v>432</v>
      </c>
      <c r="B219" s="1" t="s">
        <v>433</v>
      </c>
      <c r="C219" s="2">
        <f t="shared" si="3"/>
        <v>42613</v>
      </c>
      <c r="D219" t="s">
        <v>8</v>
      </c>
      <c r="E219" t="s">
        <v>13</v>
      </c>
      <c r="F219">
        <v>1713.86</v>
      </c>
      <c r="G219">
        <v>511.02</v>
      </c>
    </row>
    <row r="220" spans="1:7" x14ac:dyDescent="0.35">
      <c r="A220" t="s">
        <v>434</v>
      </c>
      <c r="B220" s="1" t="s">
        <v>320</v>
      </c>
      <c r="C220" s="2">
        <f t="shared" si="3"/>
        <v>42429</v>
      </c>
      <c r="D220" t="s">
        <v>37</v>
      </c>
      <c r="E220" t="s">
        <v>25</v>
      </c>
      <c r="F220">
        <v>2043.09</v>
      </c>
      <c r="G220">
        <v>409.21</v>
      </c>
    </row>
    <row r="221" spans="1:7" x14ac:dyDescent="0.35">
      <c r="A221" t="s">
        <v>435</v>
      </c>
      <c r="B221" s="1" t="s">
        <v>436</v>
      </c>
      <c r="C221" s="2">
        <f t="shared" si="3"/>
        <v>43008</v>
      </c>
      <c r="D221" t="s">
        <v>37</v>
      </c>
      <c r="E221" t="s">
        <v>25</v>
      </c>
      <c r="F221">
        <v>4372.42</v>
      </c>
      <c r="G221">
        <v>1029.43</v>
      </c>
    </row>
    <row r="222" spans="1:7" x14ac:dyDescent="0.35">
      <c r="A222" t="s">
        <v>437</v>
      </c>
      <c r="B222" s="1" t="s">
        <v>294</v>
      </c>
      <c r="C222" s="2">
        <f t="shared" si="3"/>
        <v>42429</v>
      </c>
      <c r="D222" t="s">
        <v>12</v>
      </c>
      <c r="E222" t="s">
        <v>13</v>
      </c>
      <c r="F222">
        <v>3511.47</v>
      </c>
      <c r="G222">
        <v>902.49</v>
      </c>
    </row>
    <row r="223" spans="1:7" x14ac:dyDescent="0.35">
      <c r="A223" t="s">
        <v>438</v>
      </c>
      <c r="B223" s="1" t="s">
        <v>439</v>
      </c>
      <c r="C223" s="2">
        <f t="shared" si="3"/>
        <v>43220</v>
      </c>
      <c r="D223" t="s">
        <v>8</v>
      </c>
      <c r="E223" t="s">
        <v>9</v>
      </c>
      <c r="F223">
        <v>347.32</v>
      </c>
      <c r="G223">
        <v>75.98</v>
      </c>
    </row>
    <row r="224" spans="1:7" x14ac:dyDescent="0.35">
      <c r="A224" t="s">
        <v>440</v>
      </c>
      <c r="B224" s="1" t="s">
        <v>441</v>
      </c>
      <c r="C224" s="2">
        <f t="shared" si="3"/>
        <v>43251</v>
      </c>
      <c r="D224" t="s">
        <v>12</v>
      </c>
      <c r="E224" t="s">
        <v>9</v>
      </c>
      <c r="F224">
        <v>1296.93</v>
      </c>
      <c r="G224">
        <v>145.27000000000001</v>
      </c>
    </row>
    <row r="225" spans="1:7" x14ac:dyDescent="0.35">
      <c r="A225" t="s">
        <v>442</v>
      </c>
      <c r="B225" s="1" t="s">
        <v>104</v>
      </c>
      <c r="C225" s="2">
        <f t="shared" si="3"/>
        <v>42704</v>
      </c>
      <c r="D225" t="s">
        <v>12</v>
      </c>
      <c r="E225" t="s">
        <v>13</v>
      </c>
      <c r="F225">
        <v>299.36</v>
      </c>
      <c r="G225">
        <v>20.51</v>
      </c>
    </row>
    <row r="226" spans="1:7" x14ac:dyDescent="0.35">
      <c r="A226" t="s">
        <v>443</v>
      </c>
      <c r="B226" s="1" t="s">
        <v>261</v>
      </c>
      <c r="C226" s="2">
        <f t="shared" si="3"/>
        <v>43190</v>
      </c>
      <c r="D226" t="s">
        <v>12</v>
      </c>
      <c r="E226" t="s">
        <v>25</v>
      </c>
      <c r="F226">
        <v>2384.0500000000002</v>
      </c>
      <c r="G226">
        <v>263.02999999999997</v>
      </c>
    </row>
    <row r="227" spans="1:7" x14ac:dyDescent="0.35">
      <c r="A227" t="s">
        <v>444</v>
      </c>
      <c r="B227" s="1" t="s">
        <v>445</v>
      </c>
      <c r="C227" s="2">
        <f t="shared" si="3"/>
        <v>42794</v>
      </c>
      <c r="D227" t="s">
        <v>8</v>
      </c>
      <c r="E227" t="s">
        <v>25</v>
      </c>
      <c r="F227">
        <v>3706.19</v>
      </c>
      <c r="G227">
        <v>363.95</v>
      </c>
    </row>
    <row r="228" spans="1:7" x14ac:dyDescent="0.35">
      <c r="A228" t="s">
        <v>446</v>
      </c>
      <c r="B228" s="1" t="s">
        <v>447</v>
      </c>
      <c r="C228" s="2">
        <f t="shared" si="3"/>
        <v>42916</v>
      </c>
      <c r="D228" t="s">
        <v>16</v>
      </c>
      <c r="E228" t="s">
        <v>25</v>
      </c>
      <c r="F228">
        <v>1135.6500000000001</v>
      </c>
      <c r="G228">
        <v>263.38</v>
      </c>
    </row>
    <row r="229" spans="1:7" x14ac:dyDescent="0.35">
      <c r="A229" t="s">
        <v>448</v>
      </c>
      <c r="B229" s="1" t="s">
        <v>449</v>
      </c>
      <c r="C229" s="2">
        <f t="shared" si="3"/>
        <v>43190</v>
      </c>
      <c r="D229" t="s">
        <v>37</v>
      </c>
      <c r="E229" t="s">
        <v>25</v>
      </c>
      <c r="F229">
        <v>4404.1099999999997</v>
      </c>
      <c r="G229">
        <v>322.55</v>
      </c>
    </row>
    <row r="230" spans="1:7" x14ac:dyDescent="0.35">
      <c r="A230" t="s">
        <v>450</v>
      </c>
      <c r="B230" s="1" t="s">
        <v>451</v>
      </c>
      <c r="C230" s="2">
        <f t="shared" si="3"/>
        <v>42521</v>
      </c>
      <c r="D230" t="s">
        <v>12</v>
      </c>
      <c r="E230" t="s">
        <v>25</v>
      </c>
      <c r="F230">
        <v>4510.6099999999997</v>
      </c>
      <c r="G230">
        <v>1313.18</v>
      </c>
    </row>
    <row r="231" spans="1:7" x14ac:dyDescent="0.35">
      <c r="A231" t="s">
        <v>452</v>
      </c>
      <c r="B231" s="1" t="s">
        <v>453</v>
      </c>
      <c r="C231" s="2">
        <f t="shared" si="3"/>
        <v>42704</v>
      </c>
      <c r="D231" t="s">
        <v>37</v>
      </c>
      <c r="E231" t="s">
        <v>9</v>
      </c>
      <c r="F231">
        <v>3850.41</v>
      </c>
      <c r="G231">
        <v>399.68</v>
      </c>
    </row>
    <row r="232" spans="1:7" x14ac:dyDescent="0.35">
      <c r="A232" t="s">
        <v>454</v>
      </c>
      <c r="B232" s="1" t="s">
        <v>455</v>
      </c>
      <c r="C232" s="2">
        <f t="shared" si="3"/>
        <v>42429</v>
      </c>
      <c r="D232" t="s">
        <v>8</v>
      </c>
      <c r="E232" t="s">
        <v>13</v>
      </c>
      <c r="F232">
        <v>3793.59</v>
      </c>
      <c r="G232">
        <v>208.62</v>
      </c>
    </row>
    <row r="233" spans="1:7" x14ac:dyDescent="0.35">
      <c r="A233" t="s">
        <v>456</v>
      </c>
      <c r="B233" s="1" t="s">
        <v>457</v>
      </c>
      <c r="C233" s="2">
        <f t="shared" si="3"/>
        <v>42916</v>
      </c>
      <c r="D233" t="s">
        <v>16</v>
      </c>
      <c r="E233" t="s">
        <v>25</v>
      </c>
      <c r="F233">
        <v>3571.15</v>
      </c>
      <c r="G233">
        <v>493.04</v>
      </c>
    </row>
    <row r="234" spans="1:7" x14ac:dyDescent="0.35">
      <c r="A234" t="s">
        <v>458</v>
      </c>
      <c r="B234" s="1" t="s">
        <v>157</v>
      </c>
      <c r="C234" s="2">
        <f t="shared" si="3"/>
        <v>43190</v>
      </c>
      <c r="D234" t="s">
        <v>8</v>
      </c>
      <c r="E234" t="s">
        <v>13</v>
      </c>
      <c r="F234">
        <v>4457.78</v>
      </c>
      <c r="G234">
        <v>971.17</v>
      </c>
    </row>
    <row r="235" spans="1:7" x14ac:dyDescent="0.35">
      <c r="A235" t="s">
        <v>459</v>
      </c>
      <c r="B235" s="1" t="s">
        <v>460</v>
      </c>
      <c r="C235" s="2">
        <f t="shared" si="3"/>
        <v>42429</v>
      </c>
      <c r="D235" t="s">
        <v>16</v>
      </c>
      <c r="E235" t="s">
        <v>9</v>
      </c>
      <c r="F235">
        <v>2949.59</v>
      </c>
      <c r="G235">
        <v>681.5</v>
      </c>
    </row>
    <row r="236" spans="1:7" x14ac:dyDescent="0.35">
      <c r="A236" t="s">
        <v>461</v>
      </c>
      <c r="B236" s="1" t="s">
        <v>462</v>
      </c>
      <c r="C236" s="2">
        <f t="shared" si="3"/>
        <v>42551</v>
      </c>
      <c r="D236" t="s">
        <v>12</v>
      </c>
      <c r="E236" t="s">
        <v>13</v>
      </c>
      <c r="F236">
        <v>2836.91</v>
      </c>
      <c r="G236">
        <v>368.82</v>
      </c>
    </row>
    <row r="237" spans="1:7" x14ac:dyDescent="0.35">
      <c r="A237" t="s">
        <v>463</v>
      </c>
      <c r="B237" s="1" t="s">
        <v>464</v>
      </c>
      <c r="C237" s="2">
        <f t="shared" si="3"/>
        <v>43008</v>
      </c>
      <c r="D237" t="s">
        <v>8</v>
      </c>
      <c r="E237" t="s">
        <v>25</v>
      </c>
      <c r="F237">
        <v>2527.4699999999998</v>
      </c>
      <c r="G237">
        <v>604.5</v>
      </c>
    </row>
    <row r="238" spans="1:7" x14ac:dyDescent="0.35">
      <c r="A238" t="s">
        <v>465</v>
      </c>
      <c r="B238" s="1" t="s">
        <v>391</v>
      </c>
      <c r="C238" s="2">
        <f t="shared" si="3"/>
        <v>43281</v>
      </c>
      <c r="D238" t="s">
        <v>37</v>
      </c>
      <c r="E238" t="s">
        <v>9</v>
      </c>
      <c r="F238">
        <v>2436.63</v>
      </c>
      <c r="G238">
        <v>182.55</v>
      </c>
    </row>
    <row r="239" spans="1:7" x14ac:dyDescent="0.35">
      <c r="A239" t="s">
        <v>466</v>
      </c>
      <c r="B239" s="1" t="s">
        <v>421</v>
      </c>
      <c r="C239" s="2">
        <f t="shared" si="3"/>
        <v>43251</v>
      </c>
      <c r="D239" t="s">
        <v>12</v>
      </c>
      <c r="E239" t="s">
        <v>25</v>
      </c>
      <c r="F239">
        <v>4888.32</v>
      </c>
      <c r="G239">
        <v>912.56</v>
      </c>
    </row>
    <row r="240" spans="1:7" x14ac:dyDescent="0.35">
      <c r="A240" t="s">
        <v>467</v>
      </c>
      <c r="B240" s="1" t="s">
        <v>468</v>
      </c>
      <c r="C240" s="2">
        <f t="shared" si="3"/>
        <v>43373</v>
      </c>
      <c r="D240" t="s">
        <v>37</v>
      </c>
      <c r="E240" t="s">
        <v>13</v>
      </c>
      <c r="F240">
        <v>4370.2299999999996</v>
      </c>
      <c r="G240">
        <v>228.83</v>
      </c>
    </row>
    <row r="241" spans="1:7" x14ac:dyDescent="0.35">
      <c r="A241" t="s">
        <v>469</v>
      </c>
      <c r="B241" s="1" t="s">
        <v>470</v>
      </c>
      <c r="C241" s="2">
        <f t="shared" si="3"/>
        <v>42643</v>
      </c>
      <c r="D241" t="s">
        <v>8</v>
      </c>
      <c r="E241" t="s">
        <v>13</v>
      </c>
      <c r="F241">
        <v>1907.97</v>
      </c>
      <c r="G241">
        <v>100.49</v>
      </c>
    </row>
    <row r="242" spans="1:7" x14ac:dyDescent="0.35">
      <c r="A242" t="s">
        <v>471</v>
      </c>
      <c r="B242" s="1" t="s">
        <v>472</v>
      </c>
      <c r="C242" s="2">
        <f t="shared" si="3"/>
        <v>42886</v>
      </c>
      <c r="D242" t="s">
        <v>16</v>
      </c>
      <c r="E242" t="s">
        <v>25</v>
      </c>
      <c r="F242">
        <v>3763.64</v>
      </c>
      <c r="G242">
        <v>1022.67</v>
      </c>
    </row>
    <row r="243" spans="1:7" x14ac:dyDescent="0.35">
      <c r="A243" t="s">
        <v>473</v>
      </c>
      <c r="B243" s="1" t="s">
        <v>474</v>
      </c>
      <c r="C243" s="2">
        <f t="shared" si="3"/>
        <v>43190</v>
      </c>
      <c r="D243" t="s">
        <v>37</v>
      </c>
      <c r="E243" t="s">
        <v>25</v>
      </c>
      <c r="F243">
        <v>2721.73</v>
      </c>
      <c r="G243">
        <v>645.59</v>
      </c>
    </row>
    <row r="244" spans="1:7" x14ac:dyDescent="0.35">
      <c r="A244" t="s">
        <v>475</v>
      </c>
      <c r="B244" s="1" t="s">
        <v>476</v>
      </c>
      <c r="C244" s="2">
        <f t="shared" si="3"/>
        <v>43220</v>
      </c>
      <c r="D244" t="s">
        <v>16</v>
      </c>
      <c r="E244" t="s">
        <v>13</v>
      </c>
      <c r="F244">
        <v>3617.86</v>
      </c>
      <c r="G244">
        <v>523.4</v>
      </c>
    </row>
    <row r="245" spans="1:7" x14ac:dyDescent="0.35">
      <c r="A245" t="s">
        <v>477</v>
      </c>
      <c r="B245" s="1" t="s">
        <v>324</v>
      </c>
      <c r="C245" s="2">
        <f t="shared" si="3"/>
        <v>42735</v>
      </c>
      <c r="D245" t="s">
        <v>37</v>
      </c>
      <c r="E245" t="s">
        <v>13</v>
      </c>
      <c r="F245">
        <v>3324.99</v>
      </c>
      <c r="G245">
        <v>652.16</v>
      </c>
    </row>
    <row r="246" spans="1:7" x14ac:dyDescent="0.35">
      <c r="A246" t="s">
        <v>478</v>
      </c>
      <c r="B246" s="1" t="s">
        <v>479</v>
      </c>
      <c r="C246" s="2">
        <f t="shared" si="3"/>
        <v>43008</v>
      </c>
      <c r="D246" t="s">
        <v>37</v>
      </c>
      <c r="E246" t="s">
        <v>9</v>
      </c>
      <c r="F246">
        <v>2116.58</v>
      </c>
      <c r="G246">
        <v>406.84</v>
      </c>
    </row>
    <row r="247" spans="1:7" x14ac:dyDescent="0.35">
      <c r="A247" t="s">
        <v>480</v>
      </c>
      <c r="B247" s="1" t="s">
        <v>381</v>
      </c>
      <c r="C247" s="2">
        <f t="shared" si="3"/>
        <v>42916</v>
      </c>
      <c r="D247" t="s">
        <v>37</v>
      </c>
      <c r="E247" t="s">
        <v>25</v>
      </c>
      <c r="F247">
        <v>295.79000000000002</v>
      </c>
      <c r="G247">
        <v>34.630000000000003</v>
      </c>
    </row>
    <row r="248" spans="1:7" x14ac:dyDescent="0.35">
      <c r="A248" t="s">
        <v>481</v>
      </c>
      <c r="B248" s="1" t="s">
        <v>102</v>
      </c>
      <c r="C248" s="2">
        <f t="shared" si="3"/>
        <v>43100</v>
      </c>
      <c r="D248" t="s">
        <v>16</v>
      </c>
      <c r="E248" t="s">
        <v>25</v>
      </c>
      <c r="F248">
        <v>3242.54</v>
      </c>
      <c r="G248">
        <v>945.73</v>
      </c>
    </row>
    <row r="249" spans="1:7" x14ac:dyDescent="0.35">
      <c r="A249" t="s">
        <v>482</v>
      </c>
      <c r="B249" s="1" t="s">
        <v>483</v>
      </c>
      <c r="C249" s="2">
        <f t="shared" si="3"/>
        <v>43251</v>
      </c>
      <c r="D249" t="s">
        <v>12</v>
      </c>
      <c r="E249" t="s">
        <v>13</v>
      </c>
      <c r="F249">
        <v>2132.2600000000002</v>
      </c>
      <c r="G249">
        <v>142.32</v>
      </c>
    </row>
    <row r="250" spans="1:7" x14ac:dyDescent="0.35">
      <c r="A250" t="s">
        <v>484</v>
      </c>
      <c r="B250" s="1" t="s">
        <v>485</v>
      </c>
      <c r="C250" s="2">
        <f t="shared" si="3"/>
        <v>42521</v>
      </c>
      <c r="D250" t="s">
        <v>37</v>
      </c>
      <c r="E250" t="s">
        <v>25</v>
      </c>
      <c r="F250">
        <v>4400.1099999999997</v>
      </c>
      <c r="G250">
        <v>906.85</v>
      </c>
    </row>
    <row r="251" spans="1:7" x14ac:dyDescent="0.35">
      <c r="A251" t="s">
        <v>486</v>
      </c>
      <c r="B251" s="1" t="s">
        <v>286</v>
      </c>
      <c r="C251" s="2">
        <f t="shared" si="3"/>
        <v>42794</v>
      </c>
      <c r="D251" t="s">
        <v>16</v>
      </c>
      <c r="E251" t="s">
        <v>13</v>
      </c>
      <c r="F251">
        <v>669.71</v>
      </c>
      <c r="G251">
        <v>68.72</v>
      </c>
    </row>
    <row r="252" spans="1:7" x14ac:dyDescent="0.35">
      <c r="A252" t="s">
        <v>487</v>
      </c>
      <c r="B252" s="1" t="s">
        <v>488</v>
      </c>
      <c r="C252" s="2">
        <f t="shared" si="3"/>
        <v>42674</v>
      </c>
      <c r="D252" t="s">
        <v>16</v>
      </c>
      <c r="E252" t="s">
        <v>9</v>
      </c>
      <c r="F252">
        <v>4854.3599999999997</v>
      </c>
      <c r="G252">
        <v>1393.77</v>
      </c>
    </row>
    <row r="253" spans="1:7" x14ac:dyDescent="0.35">
      <c r="A253" t="s">
        <v>489</v>
      </c>
      <c r="B253" s="1" t="s">
        <v>490</v>
      </c>
      <c r="C253" s="2">
        <f t="shared" si="3"/>
        <v>42551</v>
      </c>
      <c r="D253" t="s">
        <v>12</v>
      </c>
      <c r="E253" t="s">
        <v>13</v>
      </c>
      <c r="F253">
        <v>4715.42</v>
      </c>
      <c r="G253">
        <v>983.48</v>
      </c>
    </row>
    <row r="254" spans="1:7" x14ac:dyDescent="0.35">
      <c r="A254" t="s">
        <v>491</v>
      </c>
      <c r="B254" s="1" t="s">
        <v>492</v>
      </c>
      <c r="C254" s="2">
        <f t="shared" si="3"/>
        <v>42886</v>
      </c>
      <c r="D254" t="s">
        <v>8</v>
      </c>
      <c r="E254" t="s">
        <v>25</v>
      </c>
      <c r="F254">
        <v>930.06</v>
      </c>
      <c r="G254">
        <v>59.03</v>
      </c>
    </row>
    <row r="255" spans="1:7" x14ac:dyDescent="0.35">
      <c r="A255" t="s">
        <v>493</v>
      </c>
      <c r="B255" s="1" t="s">
        <v>494</v>
      </c>
      <c r="C255" s="2">
        <f t="shared" si="3"/>
        <v>42429</v>
      </c>
      <c r="D255" t="s">
        <v>16</v>
      </c>
      <c r="E255" t="s">
        <v>25</v>
      </c>
      <c r="F255">
        <v>528.26</v>
      </c>
      <c r="G255">
        <v>91.29</v>
      </c>
    </row>
    <row r="256" spans="1:7" x14ac:dyDescent="0.35">
      <c r="A256" t="s">
        <v>495</v>
      </c>
      <c r="B256" s="1" t="s">
        <v>496</v>
      </c>
      <c r="C256" s="2">
        <f t="shared" si="3"/>
        <v>42551</v>
      </c>
      <c r="D256" t="s">
        <v>8</v>
      </c>
      <c r="E256" t="s">
        <v>9</v>
      </c>
      <c r="F256">
        <v>3286.26</v>
      </c>
      <c r="G256">
        <v>377.42</v>
      </c>
    </row>
    <row r="257" spans="1:7" x14ac:dyDescent="0.35">
      <c r="A257" t="s">
        <v>497</v>
      </c>
      <c r="B257" s="1" t="s">
        <v>498</v>
      </c>
      <c r="C257" s="2">
        <f t="shared" si="3"/>
        <v>42735</v>
      </c>
      <c r="D257" t="s">
        <v>12</v>
      </c>
      <c r="E257" t="s">
        <v>25</v>
      </c>
      <c r="F257">
        <v>326.77999999999997</v>
      </c>
      <c r="G257">
        <v>43.78</v>
      </c>
    </row>
    <row r="258" spans="1:7" x14ac:dyDescent="0.35">
      <c r="A258" t="s">
        <v>499</v>
      </c>
      <c r="B258" s="1" t="s">
        <v>500</v>
      </c>
      <c r="C258" s="2">
        <f t="shared" si="3"/>
        <v>42825</v>
      </c>
      <c r="D258" t="s">
        <v>8</v>
      </c>
      <c r="E258" t="s">
        <v>13</v>
      </c>
      <c r="F258">
        <v>280.13</v>
      </c>
      <c r="G258">
        <v>39.979999999999997</v>
      </c>
    </row>
    <row r="259" spans="1:7" x14ac:dyDescent="0.35">
      <c r="A259" t="s">
        <v>501</v>
      </c>
      <c r="B259" s="1" t="s">
        <v>502</v>
      </c>
      <c r="C259" s="2">
        <f t="shared" ref="C259:C322" si="4">EOMONTH(B259,0)</f>
        <v>42582</v>
      </c>
      <c r="D259" t="s">
        <v>16</v>
      </c>
      <c r="E259" t="s">
        <v>25</v>
      </c>
      <c r="F259">
        <v>3748.26</v>
      </c>
      <c r="G259">
        <v>620.91</v>
      </c>
    </row>
    <row r="260" spans="1:7" x14ac:dyDescent="0.35">
      <c r="A260" t="s">
        <v>503</v>
      </c>
      <c r="B260" s="1" t="s">
        <v>504</v>
      </c>
      <c r="C260" s="2">
        <f t="shared" si="4"/>
        <v>42978</v>
      </c>
      <c r="D260" t="s">
        <v>37</v>
      </c>
      <c r="E260" t="s">
        <v>25</v>
      </c>
      <c r="F260">
        <v>2350.4899999999998</v>
      </c>
      <c r="G260">
        <v>180.29</v>
      </c>
    </row>
    <row r="261" spans="1:7" x14ac:dyDescent="0.35">
      <c r="A261" t="s">
        <v>505</v>
      </c>
      <c r="B261" s="1" t="s">
        <v>506</v>
      </c>
      <c r="C261" s="2">
        <f t="shared" si="4"/>
        <v>43131</v>
      </c>
      <c r="D261" t="s">
        <v>8</v>
      </c>
      <c r="E261" t="s">
        <v>13</v>
      </c>
      <c r="F261">
        <v>648.76</v>
      </c>
      <c r="G261">
        <v>112.39</v>
      </c>
    </row>
    <row r="262" spans="1:7" x14ac:dyDescent="0.35">
      <c r="A262" t="s">
        <v>507</v>
      </c>
      <c r="B262" s="1" t="s">
        <v>508</v>
      </c>
      <c r="C262" s="2">
        <f t="shared" si="4"/>
        <v>43100</v>
      </c>
      <c r="D262" t="s">
        <v>12</v>
      </c>
      <c r="E262" t="s">
        <v>13</v>
      </c>
      <c r="F262">
        <v>2223.56</v>
      </c>
      <c r="G262">
        <v>362.15</v>
      </c>
    </row>
    <row r="263" spans="1:7" x14ac:dyDescent="0.35">
      <c r="A263" t="s">
        <v>509</v>
      </c>
      <c r="B263" s="1" t="s">
        <v>510</v>
      </c>
      <c r="C263" s="2">
        <f t="shared" si="4"/>
        <v>42521</v>
      </c>
      <c r="D263" t="s">
        <v>37</v>
      </c>
      <c r="E263" t="s">
        <v>25</v>
      </c>
      <c r="F263">
        <v>1357.21</v>
      </c>
      <c r="G263">
        <v>73.37</v>
      </c>
    </row>
    <row r="264" spans="1:7" x14ac:dyDescent="0.35">
      <c r="A264" t="s">
        <v>511</v>
      </c>
      <c r="B264" s="1" t="s">
        <v>512</v>
      </c>
      <c r="C264" s="2">
        <f t="shared" si="4"/>
        <v>42766</v>
      </c>
      <c r="D264" t="s">
        <v>8</v>
      </c>
      <c r="E264" t="s">
        <v>25</v>
      </c>
      <c r="F264">
        <v>2920.68</v>
      </c>
      <c r="G264">
        <v>674.42</v>
      </c>
    </row>
    <row r="265" spans="1:7" x14ac:dyDescent="0.35">
      <c r="A265" t="s">
        <v>513</v>
      </c>
      <c r="B265" s="1" t="s">
        <v>514</v>
      </c>
      <c r="C265" s="2">
        <f t="shared" si="4"/>
        <v>42947</v>
      </c>
      <c r="D265" t="s">
        <v>12</v>
      </c>
      <c r="E265" t="s">
        <v>13</v>
      </c>
      <c r="F265">
        <v>3781.36</v>
      </c>
      <c r="G265">
        <v>558.24</v>
      </c>
    </row>
    <row r="266" spans="1:7" x14ac:dyDescent="0.35">
      <c r="A266" t="s">
        <v>515</v>
      </c>
      <c r="B266" s="1" t="s">
        <v>516</v>
      </c>
      <c r="C266" s="2">
        <f t="shared" si="4"/>
        <v>42551</v>
      </c>
      <c r="D266" t="s">
        <v>8</v>
      </c>
      <c r="E266" t="s">
        <v>9</v>
      </c>
      <c r="F266">
        <v>1956.61</v>
      </c>
      <c r="G266">
        <v>431.9</v>
      </c>
    </row>
    <row r="267" spans="1:7" x14ac:dyDescent="0.35">
      <c r="A267" t="s">
        <v>517</v>
      </c>
      <c r="B267" s="1" t="s">
        <v>518</v>
      </c>
      <c r="C267" s="2">
        <f t="shared" si="4"/>
        <v>43039</v>
      </c>
      <c r="D267" t="s">
        <v>16</v>
      </c>
      <c r="E267" t="s">
        <v>9</v>
      </c>
      <c r="F267">
        <v>2926.67</v>
      </c>
      <c r="G267">
        <v>595.91999999999996</v>
      </c>
    </row>
    <row r="268" spans="1:7" x14ac:dyDescent="0.35">
      <c r="A268" t="s">
        <v>519</v>
      </c>
      <c r="B268" s="1" t="s">
        <v>106</v>
      </c>
      <c r="C268" s="2">
        <f t="shared" si="4"/>
        <v>42429</v>
      </c>
      <c r="D268" t="s">
        <v>16</v>
      </c>
      <c r="E268" t="s">
        <v>13</v>
      </c>
      <c r="F268">
        <v>922.42</v>
      </c>
      <c r="G268">
        <v>188.55</v>
      </c>
    </row>
    <row r="269" spans="1:7" x14ac:dyDescent="0.35">
      <c r="A269" t="s">
        <v>520</v>
      </c>
      <c r="B269" s="1" t="s">
        <v>521</v>
      </c>
      <c r="C269" s="2">
        <f t="shared" si="4"/>
        <v>42978</v>
      </c>
      <c r="D269" t="s">
        <v>12</v>
      </c>
      <c r="E269" t="s">
        <v>13</v>
      </c>
      <c r="F269">
        <v>2258.4499999999998</v>
      </c>
      <c r="G269">
        <v>252.03</v>
      </c>
    </row>
    <row r="270" spans="1:7" x14ac:dyDescent="0.35">
      <c r="A270" t="s">
        <v>522</v>
      </c>
      <c r="B270" s="1" t="s">
        <v>523</v>
      </c>
      <c r="C270" s="2">
        <f t="shared" si="4"/>
        <v>42704</v>
      </c>
      <c r="D270" t="s">
        <v>12</v>
      </c>
      <c r="E270" t="s">
        <v>13</v>
      </c>
      <c r="F270">
        <v>392.28</v>
      </c>
      <c r="G270">
        <v>20.11</v>
      </c>
    </row>
    <row r="271" spans="1:7" x14ac:dyDescent="0.35">
      <c r="A271" t="s">
        <v>524</v>
      </c>
      <c r="B271" s="1" t="s">
        <v>525</v>
      </c>
      <c r="C271" s="2">
        <f t="shared" si="4"/>
        <v>42886</v>
      </c>
      <c r="D271" t="s">
        <v>37</v>
      </c>
      <c r="E271" t="s">
        <v>9</v>
      </c>
      <c r="F271">
        <v>1959.4</v>
      </c>
      <c r="G271">
        <v>505.88</v>
      </c>
    </row>
    <row r="272" spans="1:7" x14ac:dyDescent="0.35">
      <c r="A272" t="s">
        <v>526</v>
      </c>
      <c r="B272" s="1" t="s">
        <v>527</v>
      </c>
      <c r="C272" s="2">
        <f t="shared" si="4"/>
        <v>43069</v>
      </c>
      <c r="D272" t="s">
        <v>8</v>
      </c>
      <c r="E272" t="s">
        <v>13</v>
      </c>
      <c r="F272">
        <v>1120.04</v>
      </c>
      <c r="G272">
        <v>216.42</v>
      </c>
    </row>
    <row r="273" spans="1:7" x14ac:dyDescent="0.35">
      <c r="A273" t="s">
        <v>528</v>
      </c>
      <c r="B273" s="1" t="s">
        <v>529</v>
      </c>
      <c r="C273" s="2">
        <f t="shared" si="4"/>
        <v>43100</v>
      </c>
      <c r="D273" t="s">
        <v>37</v>
      </c>
      <c r="E273" t="s">
        <v>13</v>
      </c>
      <c r="F273">
        <v>788.4</v>
      </c>
      <c r="G273">
        <v>100.46</v>
      </c>
    </row>
    <row r="274" spans="1:7" x14ac:dyDescent="0.35">
      <c r="A274" t="s">
        <v>530</v>
      </c>
      <c r="B274" s="1" t="s">
        <v>531</v>
      </c>
      <c r="C274" s="2">
        <f t="shared" si="4"/>
        <v>42674</v>
      </c>
      <c r="D274" t="s">
        <v>16</v>
      </c>
      <c r="E274" t="s">
        <v>13</v>
      </c>
      <c r="F274">
        <v>2252.1799999999998</v>
      </c>
      <c r="G274">
        <v>488.01</v>
      </c>
    </row>
    <row r="275" spans="1:7" x14ac:dyDescent="0.35">
      <c r="A275" t="s">
        <v>532</v>
      </c>
      <c r="B275" s="1" t="s">
        <v>533</v>
      </c>
      <c r="C275" s="2">
        <f t="shared" si="4"/>
        <v>43008</v>
      </c>
      <c r="D275" t="s">
        <v>12</v>
      </c>
      <c r="E275" t="s">
        <v>13</v>
      </c>
      <c r="F275">
        <v>440.18</v>
      </c>
      <c r="G275">
        <v>53.34</v>
      </c>
    </row>
    <row r="276" spans="1:7" x14ac:dyDescent="0.35">
      <c r="A276" t="s">
        <v>534</v>
      </c>
      <c r="B276" s="1" t="s">
        <v>535</v>
      </c>
      <c r="C276" s="2">
        <f t="shared" si="4"/>
        <v>42978</v>
      </c>
      <c r="D276" t="s">
        <v>8</v>
      </c>
      <c r="E276" t="s">
        <v>13</v>
      </c>
      <c r="F276">
        <v>2227.61</v>
      </c>
      <c r="G276">
        <v>664.5</v>
      </c>
    </row>
    <row r="277" spans="1:7" x14ac:dyDescent="0.35">
      <c r="A277" t="s">
        <v>536</v>
      </c>
      <c r="B277" s="1" t="s">
        <v>537</v>
      </c>
      <c r="C277" s="2">
        <f t="shared" si="4"/>
        <v>42551</v>
      </c>
      <c r="D277" t="s">
        <v>37</v>
      </c>
      <c r="E277" t="s">
        <v>13</v>
      </c>
      <c r="F277">
        <v>869.6</v>
      </c>
      <c r="G277">
        <v>211.96</v>
      </c>
    </row>
    <row r="278" spans="1:7" x14ac:dyDescent="0.35">
      <c r="A278" t="s">
        <v>538</v>
      </c>
      <c r="B278" s="1" t="s">
        <v>539</v>
      </c>
      <c r="C278" s="2">
        <f t="shared" si="4"/>
        <v>42521</v>
      </c>
      <c r="D278" t="s">
        <v>8</v>
      </c>
      <c r="E278" t="s">
        <v>25</v>
      </c>
      <c r="F278">
        <v>740.15</v>
      </c>
      <c r="G278">
        <v>68.3</v>
      </c>
    </row>
    <row r="279" spans="1:7" x14ac:dyDescent="0.35">
      <c r="A279" t="s">
        <v>540</v>
      </c>
      <c r="B279" s="1" t="s">
        <v>492</v>
      </c>
      <c r="C279" s="2">
        <f t="shared" si="4"/>
        <v>42886</v>
      </c>
      <c r="D279" t="s">
        <v>16</v>
      </c>
      <c r="E279" t="s">
        <v>9</v>
      </c>
      <c r="F279">
        <v>784.65</v>
      </c>
      <c r="G279">
        <v>78.16</v>
      </c>
    </row>
    <row r="280" spans="1:7" x14ac:dyDescent="0.35">
      <c r="A280" t="s">
        <v>541</v>
      </c>
      <c r="B280" s="1" t="s">
        <v>542</v>
      </c>
      <c r="C280" s="2">
        <f t="shared" si="4"/>
        <v>42400</v>
      </c>
      <c r="D280" t="s">
        <v>12</v>
      </c>
      <c r="E280" t="s">
        <v>13</v>
      </c>
      <c r="F280">
        <v>1106.9100000000001</v>
      </c>
      <c r="G280">
        <v>141.34</v>
      </c>
    </row>
    <row r="281" spans="1:7" x14ac:dyDescent="0.35">
      <c r="A281" t="s">
        <v>543</v>
      </c>
      <c r="B281" s="1" t="s">
        <v>544</v>
      </c>
      <c r="C281" s="2">
        <f t="shared" si="4"/>
        <v>42400</v>
      </c>
      <c r="D281" t="s">
        <v>16</v>
      </c>
      <c r="E281" t="s">
        <v>9</v>
      </c>
      <c r="F281">
        <v>4030.75</v>
      </c>
      <c r="G281">
        <v>1064.19</v>
      </c>
    </row>
    <row r="282" spans="1:7" x14ac:dyDescent="0.35">
      <c r="A282" t="s">
        <v>545</v>
      </c>
      <c r="B282" s="1" t="s">
        <v>431</v>
      </c>
      <c r="C282" s="2">
        <f t="shared" si="4"/>
        <v>42400</v>
      </c>
      <c r="D282" t="s">
        <v>12</v>
      </c>
      <c r="E282" t="s">
        <v>25</v>
      </c>
      <c r="F282">
        <v>2867</v>
      </c>
      <c r="G282">
        <v>323.04000000000002</v>
      </c>
    </row>
    <row r="283" spans="1:7" x14ac:dyDescent="0.35">
      <c r="A283" t="s">
        <v>546</v>
      </c>
      <c r="B283" s="1" t="s">
        <v>547</v>
      </c>
      <c r="C283" s="2">
        <f t="shared" si="4"/>
        <v>42643</v>
      </c>
      <c r="D283" t="s">
        <v>12</v>
      </c>
      <c r="E283" t="s">
        <v>25</v>
      </c>
      <c r="F283">
        <v>2429.81</v>
      </c>
      <c r="G283">
        <v>487.67</v>
      </c>
    </row>
    <row r="284" spans="1:7" x14ac:dyDescent="0.35">
      <c r="A284" t="s">
        <v>548</v>
      </c>
      <c r="B284" s="1" t="s">
        <v>549</v>
      </c>
      <c r="C284" s="2">
        <f t="shared" si="4"/>
        <v>43251</v>
      </c>
      <c r="D284" t="s">
        <v>12</v>
      </c>
      <c r="E284" t="s">
        <v>9</v>
      </c>
      <c r="F284">
        <v>946.56</v>
      </c>
      <c r="G284">
        <v>265.17</v>
      </c>
    </row>
    <row r="285" spans="1:7" x14ac:dyDescent="0.35">
      <c r="A285" t="s">
        <v>550</v>
      </c>
      <c r="B285" s="1" t="s">
        <v>551</v>
      </c>
      <c r="C285" s="2">
        <f t="shared" si="4"/>
        <v>42947</v>
      </c>
      <c r="D285" t="s">
        <v>12</v>
      </c>
      <c r="E285" t="s">
        <v>9</v>
      </c>
      <c r="F285">
        <v>2860.88</v>
      </c>
      <c r="G285">
        <v>553.72</v>
      </c>
    </row>
    <row r="286" spans="1:7" x14ac:dyDescent="0.35">
      <c r="A286" t="s">
        <v>552</v>
      </c>
      <c r="B286" s="1" t="s">
        <v>553</v>
      </c>
      <c r="C286" s="2">
        <f t="shared" si="4"/>
        <v>42582</v>
      </c>
      <c r="D286" t="s">
        <v>12</v>
      </c>
      <c r="E286" t="s">
        <v>25</v>
      </c>
      <c r="F286">
        <v>3802.49</v>
      </c>
      <c r="G286">
        <v>1023.34</v>
      </c>
    </row>
    <row r="287" spans="1:7" x14ac:dyDescent="0.35">
      <c r="A287" t="s">
        <v>554</v>
      </c>
      <c r="B287" s="1" t="s">
        <v>555</v>
      </c>
      <c r="C287" s="2">
        <f t="shared" si="4"/>
        <v>42613</v>
      </c>
      <c r="D287" t="s">
        <v>37</v>
      </c>
      <c r="E287" t="s">
        <v>25</v>
      </c>
      <c r="F287">
        <v>3311.94</v>
      </c>
      <c r="G287">
        <v>274.42</v>
      </c>
    </row>
    <row r="288" spans="1:7" x14ac:dyDescent="0.35">
      <c r="A288" t="s">
        <v>556</v>
      </c>
      <c r="B288" s="1" t="s">
        <v>557</v>
      </c>
      <c r="C288" s="2">
        <f t="shared" si="4"/>
        <v>42400</v>
      </c>
      <c r="D288" t="s">
        <v>12</v>
      </c>
      <c r="E288" t="s">
        <v>13</v>
      </c>
      <c r="F288">
        <v>3850</v>
      </c>
      <c r="G288">
        <v>220.8</v>
      </c>
    </row>
    <row r="289" spans="1:7" x14ac:dyDescent="0.35">
      <c r="A289" t="s">
        <v>558</v>
      </c>
      <c r="B289" s="1" t="s">
        <v>193</v>
      </c>
      <c r="C289" s="2">
        <f t="shared" si="4"/>
        <v>43281</v>
      </c>
      <c r="D289" t="s">
        <v>37</v>
      </c>
      <c r="E289" t="s">
        <v>9</v>
      </c>
      <c r="F289">
        <v>2514.9899999999998</v>
      </c>
      <c r="G289">
        <v>678.74</v>
      </c>
    </row>
    <row r="290" spans="1:7" x14ac:dyDescent="0.35">
      <c r="A290" t="s">
        <v>559</v>
      </c>
      <c r="B290" s="1" t="s">
        <v>560</v>
      </c>
      <c r="C290" s="2">
        <f t="shared" si="4"/>
        <v>43373</v>
      </c>
      <c r="D290" t="s">
        <v>12</v>
      </c>
      <c r="E290" t="s">
        <v>13</v>
      </c>
      <c r="F290">
        <v>2313.6</v>
      </c>
      <c r="G290">
        <v>226.69</v>
      </c>
    </row>
    <row r="291" spans="1:7" x14ac:dyDescent="0.35">
      <c r="A291" t="s">
        <v>561</v>
      </c>
      <c r="B291" s="1" t="s">
        <v>433</v>
      </c>
      <c r="C291" s="2">
        <f t="shared" si="4"/>
        <v>42613</v>
      </c>
      <c r="D291" t="s">
        <v>8</v>
      </c>
      <c r="E291" t="s">
        <v>25</v>
      </c>
      <c r="F291">
        <v>4016.08</v>
      </c>
      <c r="G291">
        <v>673.68</v>
      </c>
    </row>
    <row r="292" spans="1:7" x14ac:dyDescent="0.35">
      <c r="A292" t="s">
        <v>562</v>
      </c>
      <c r="B292" s="1" t="s">
        <v>563</v>
      </c>
      <c r="C292" s="2">
        <f t="shared" si="4"/>
        <v>43008</v>
      </c>
      <c r="D292" t="s">
        <v>12</v>
      </c>
      <c r="E292" t="s">
        <v>9</v>
      </c>
      <c r="F292">
        <v>3002.1</v>
      </c>
      <c r="G292">
        <v>573.41999999999996</v>
      </c>
    </row>
    <row r="293" spans="1:7" x14ac:dyDescent="0.35">
      <c r="A293" t="s">
        <v>564</v>
      </c>
      <c r="B293" s="1" t="s">
        <v>565</v>
      </c>
      <c r="C293" s="2">
        <f t="shared" si="4"/>
        <v>42855</v>
      </c>
      <c r="D293" t="s">
        <v>37</v>
      </c>
      <c r="E293" t="s">
        <v>13</v>
      </c>
      <c r="F293">
        <v>4262.3599999999997</v>
      </c>
      <c r="G293">
        <v>436.78</v>
      </c>
    </row>
    <row r="294" spans="1:7" x14ac:dyDescent="0.35">
      <c r="A294" t="s">
        <v>566</v>
      </c>
      <c r="B294" s="1" t="s">
        <v>567</v>
      </c>
      <c r="C294" s="2">
        <f t="shared" si="4"/>
        <v>42735</v>
      </c>
      <c r="D294" t="s">
        <v>16</v>
      </c>
      <c r="E294" t="s">
        <v>9</v>
      </c>
      <c r="F294">
        <v>846.78</v>
      </c>
      <c r="G294">
        <v>196.82</v>
      </c>
    </row>
    <row r="295" spans="1:7" x14ac:dyDescent="0.35">
      <c r="A295" t="s">
        <v>568</v>
      </c>
      <c r="B295" s="1" t="s">
        <v>569</v>
      </c>
      <c r="C295" s="2">
        <f t="shared" si="4"/>
        <v>42521</v>
      </c>
      <c r="D295" t="s">
        <v>8</v>
      </c>
      <c r="E295" t="s">
        <v>9</v>
      </c>
      <c r="F295">
        <v>2919.6</v>
      </c>
      <c r="G295">
        <v>487.38</v>
      </c>
    </row>
    <row r="296" spans="1:7" x14ac:dyDescent="0.35">
      <c r="A296" t="s">
        <v>570</v>
      </c>
      <c r="B296" s="1" t="s">
        <v>571</v>
      </c>
      <c r="C296" s="2">
        <f t="shared" si="4"/>
        <v>42886</v>
      </c>
      <c r="D296" t="s">
        <v>16</v>
      </c>
      <c r="E296" t="s">
        <v>25</v>
      </c>
      <c r="F296">
        <v>4069.19</v>
      </c>
      <c r="G296">
        <v>465.6</v>
      </c>
    </row>
    <row r="297" spans="1:7" x14ac:dyDescent="0.35">
      <c r="A297" t="s">
        <v>572</v>
      </c>
      <c r="B297" s="1" t="s">
        <v>573</v>
      </c>
      <c r="C297" s="2">
        <f t="shared" si="4"/>
        <v>43343</v>
      </c>
      <c r="D297" t="s">
        <v>37</v>
      </c>
      <c r="E297" t="s">
        <v>13</v>
      </c>
      <c r="F297">
        <v>2041.35</v>
      </c>
      <c r="G297">
        <v>530.9</v>
      </c>
    </row>
    <row r="298" spans="1:7" x14ac:dyDescent="0.35">
      <c r="A298" t="s">
        <v>574</v>
      </c>
      <c r="B298" s="1" t="s">
        <v>575</v>
      </c>
      <c r="C298" s="2">
        <f t="shared" si="4"/>
        <v>42766</v>
      </c>
      <c r="D298" t="s">
        <v>8</v>
      </c>
      <c r="E298" t="s">
        <v>9</v>
      </c>
      <c r="F298">
        <v>3477</v>
      </c>
      <c r="G298">
        <v>268.39999999999998</v>
      </c>
    </row>
    <row r="299" spans="1:7" x14ac:dyDescent="0.35">
      <c r="A299" t="s">
        <v>576</v>
      </c>
      <c r="B299" s="1" t="s">
        <v>577</v>
      </c>
      <c r="C299" s="2">
        <f t="shared" si="4"/>
        <v>43159</v>
      </c>
      <c r="D299" t="s">
        <v>8</v>
      </c>
      <c r="E299" t="s">
        <v>25</v>
      </c>
      <c r="F299">
        <v>4962.43</v>
      </c>
      <c r="G299">
        <v>1128</v>
      </c>
    </row>
    <row r="300" spans="1:7" x14ac:dyDescent="0.35">
      <c r="A300" t="s">
        <v>578</v>
      </c>
      <c r="B300" s="1" t="s">
        <v>579</v>
      </c>
      <c r="C300" s="2">
        <f t="shared" si="4"/>
        <v>42855</v>
      </c>
      <c r="D300" t="s">
        <v>16</v>
      </c>
      <c r="E300" t="s">
        <v>9</v>
      </c>
      <c r="F300">
        <v>1331.58</v>
      </c>
      <c r="G300">
        <v>244.24</v>
      </c>
    </row>
    <row r="301" spans="1:7" x14ac:dyDescent="0.35">
      <c r="A301" t="s">
        <v>580</v>
      </c>
      <c r="B301" s="1" t="s">
        <v>324</v>
      </c>
      <c r="C301" s="2">
        <f t="shared" si="4"/>
        <v>42735</v>
      </c>
      <c r="D301" t="s">
        <v>37</v>
      </c>
      <c r="E301" t="s">
        <v>9</v>
      </c>
      <c r="F301">
        <v>3232.07</v>
      </c>
      <c r="G301">
        <v>656.82</v>
      </c>
    </row>
    <row r="302" spans="1:7" x14ac:dyDescent="0.35">
      <c r="A302" t="s">
        <v>581</v>
      </c>
      <c r="B302" s="1" t="s">
        <v>582</v>
      </c>
      <c r="C302" s="2">
        <f t="shared" si="4"/>
        <v>42704</v>
      </c>
      <c r="D302" t="s">
        <v>8</v>
      </c>
      <c r="E302" t="s">
        <v>13</v>
      </c>
      <c r="F302">
        <v>3923.22</v>
      </c>
      <c r="G302">
        <v>915.02</v>
      </c>
    </row>
    <row r="303" spans="1:7" x14ac:dyDescent="0.35">
      <c r="A303" t="s">
        <v>583</v>
      </c>
      <c r="B303" s="1" t="s">
        <v>584</v>
      </c>
      <c r="C303" s="2">
        <f t="shared" si="4"/>
        <v>42794</v>
      </c>
      <c r="D303" t="s">
        <v>12</v>
      </c>
      <c r="E303" t="s">
        <v>25</v>
      </c>
      <c r="F303">
        <v>984.78</v>
      </c>
      <c r="G303">
        <v>117.8</v>
      </c>
    </row>
    <row r="304" spans="1:7" x14ac:dyDescent="0.35">
      <c r="A304" t="s">
        <v>585</v>
      </c>
      <c r="B304" s="1" t="s">
        <v>586</v>
      </c>
      <c r="C304" s="2">
        <f t="shared" si="4"/>
        <v>42429</v>
      </c>
      <c r="D304" t="s">
        <v>8</v>
      </c>
      <c r="E304" t="s">
        <v>25</v>
      </c>
      <c r="F304">
        <v>283.08</v>
      </c>
      <c r="G304">
        <v>47.9</v>
      </c>
    </row>
    <row r="305" spans="1:7" x14ac:dyDescent="0.35">
      <c r="A305" t="s">
        <v>587</v>
      </c>
      <c r="B305" s="1" t="s">
        <v>588</v>
      </c>
      <c r="C305" s="2">
        <f t="shared" si="4"/>
        <v>42582</v>
      </c>
      <c r="D305" t="s">
        <v>8</v>
      </c>
      <c r="E305" t="s">
        <v>9</v>
      </c>
      <c r="F305">
        <v>4465.34</v>
      </c>
      <c r="G305">
        <v>701.33</v>
      </c>
    </row>
    <row r="306" spans="1:7" x14ac:dyDescent="0.35">
      <c r="A306" t="s">
        <v>589</v>
      </c>
      <c r="B306" s="1" t="s">
        <v>590</v>
      </c>
      <c r="C306" s="2">
        <f t="shared" si="4"/>
        <v>42490</v>
      </c>
      <c r="D306" t="s">
        <v>37</v>
      </c>
      <c r="E306" t="s">
        <v>9</v>
      </c>
      <c r="F306">
        <v>4399.1499999999996</v>
      </c>
      <c r="G306">
        <v>741.49</v>
      </c>
    </row>
    <row r="307" spans="1:7" x14ac:dyDescent="0.35">
      <c r="A307" t="s">
        <v>591</v>
      </c>
      <c r="B307" s="1" t="s">
        <v>592</v>
      </c>
      <c r="C307" s="2">
        <f t="shared" si="4"/>
        <v>42582</v>
      </c>
      <c r="D307" t="s">
        <v>8</v>
      </c>
      <c r="E307" t="s">
        <v>25</v>
      </c>
      <c r="F307">
        <v>4576.54</v>
      </c>
      <c r="G307">
        <v>1068.8499999999999</v>
      </c>
    </row>
    <row r="308" spans="1:7" x14ac:dyDescent="0.35">
      <c r="A308" t="s">
        <v>593</v>
      </c>
      <c r="B308" s="1" t="s">
        <v>594</v>
      </c>
      <c r="C308" s="2">
        <f t="shared" si="4"/>
        <v>42794</v>
      </c>
      <c r="D308" t="s">
        <v>16</v>
      </c>
      <c r="E308" t="s">
        <v>13</v>
      </c>
      <c r="F308">
        <v>1998.59</v>
      </c>
      <c r="G308">
        <v>510.3</v>
      </c>
    </row>
    <row r="309" spans="1:7" x14ac:dyDescent="0.35">
      <c r="A309" t="s">
        <v>595</v>
      </c>
      <c r="B309" s="1" t="s">
        <v>596</v>
      </c>
      <c r="C309" s="2">
        <f t="shared" si="4"/>
        <v>43343</v>
      </c>
      <c r="D309" t="s">
        <v>8</v>
      </c>
      <c r="E309" t="s">
        <v>25</v>
      </c>
      <c r="F309">
        <v>4019.97</v>
      </c>
      <c r="G309">
        <v>787.6</v>
      </c>
    </row>
    <row r="310" spans="1:7" x14ac:dyDescent="0.35">
      <c r="A310" t="s">
        <v>597</v>
      </c>
      <c r="B310" s="1" t="s">
        <v>598</v>
      </c>
      <c r="C310" s="2">
        <f t="shared" si="4"/>
        <v>43131</v>
      </c>
      <c r="D310" t="s">
        <v>8</v>
      </c>
      <c r="E310" t="s">
        <v>9</v>
      </c>
      <c r="F310">
        <v>1055.1600000000001</v>
      </c>
      <c r="G310">
        <v>146.79</v>
      </c>
    </row>
    <row r="311" spans="1:7" x14ac:dyDescent="0.35">
      <c r="A311" t="s">
        <v>599</v>
      </c>
      <c r="B311" s="1" t="s">
        <v>600</v>
      </c>
      <c r="C311" s="2">
        <f t="shared" si="4"/>
        <v>42794</v>
      </c>
      <c r="D311" t="s">
        <v>8</v>
      </c>
      <c r="E311" t="s">
        <v>13</v>
      </c>
      <c r="F311">
        <v>3549.15</v>
      </c>
      <c r="G311">
        <v>594.25</v>
      </c>
    </row>
    <row r="312" spans="1:7" x14ac:dyDescent="0.35">
      <c r="A312" t="s">
        <v>601</v>
      </c>
      <c r="B312" s="1" t="s">
        <v>602</v>
      </c>
      <c r="C312" s="2">
        <f t="shared" si="4"/>
        <v>42794</v>
      </c>
      <c r="D312" t="s">
        <v>37</v>
      </c>
      <c r="E312" t="s">
        <v>9</v>
      </c>
      <c r="F312">
        <v>4245.9399999999996</v>
      </c>
      <c r="G312">
        <v>1169.04</v>
      </c>
    </row>
    <row r="313" spans="1:7" x14ac:dyDescent="0.35">
      <c r="A313" t="s">
        <v>603</v>
      </c>
      <c r="B313" s="1" t="s">
        <v>604</v>
      </c>
      <c r="C313" s="2">
        <f t="shared" si="4"/>
        <v>43251</v>
      </c>
      <c r="D313" t="s">
        <v>16</v>
      </c>
      <c r="E313" t="s">
        <v>9</v>
      </c>
      <c r="F313">
        <v>4809.97</v>
      </c>
      <c r="G313">
        <v>1170.44</v>
      </c>
    </row>
    <row r="314" spans="1:7" x14ac:dyDescent="0.35">
      <c r="A314" t="s">
        <v>605</v>
      </c>
      <c r="B314" s="1" t="s">
        <v>606</v>
      </c>
      <c r="C314" s="2">
        <f t="shared" si="4"/>
        <v>43069</v>
      </c>
      <c r="D314" t="s">
        <v>37</v>
      </c>
      <c r="E314" t="s">
        <v>9</v>
      </c>
      <c r="F314">
        <v>1804.93</v>
      </c>
      <c r="G314">
        <v>142.18</v>
      </c>
    </row>
    <row r="315" spans="1:7" x14ac:dyDescent="0.35">
      <c r="A315" t="s">
        <v>607</v>
      </c>
      <c r="B315" s="1" t="s">
        <v>608</v>
      </c>
      <c r="C315" s="2">
        <f t="shared" si="4"/>
        <v>42582</v>
      </c>
      <c r="D315" t="s">
        <v>12</v>
      </c>
      <c r="E315" t="s">
        <v>13</v>
      </c>
      <c r="F315">
        <v>4005.26</v>
      </c>
      <c r="G315">
        <v>1048.74</v>
      </c>
    </row>
    <row r="316" spans="1:7" x14ac:dyDescent="0.35">
      <c r="A316" t="s">
        <v>609</v>
      </c>
      <c r="B316" s="1" t="s">
        <v>258</v>
      </c>
      <c r="C316" s="2">
        <f t="shared" si="4"/>
        <v>42916</v>
      </c>
      <c r="D316" t="s">
        <v>16</v>
      </c>
      <c r="E316" t="s">
        <v>13</v>
      </c>
      <c r="F316">
        <v>4266.04</v>
      </c>
      <c r="G316">
        <v>528.70000000000005</v>
      </c>
    </row>
    <row r="317" spans="1:7" x14ac:dyDescent="0.35">
      <c r="A317" t="s">
        <v>610</v>
      </c>
      <c r="B317" s="1" t="s">
        <v>155</v>
      </c>
      <c r="C317" s="2">
        <f t="shared" si="4"/>
        <v>43039</v>
      </c>
      <c r="D317" t="s">
        <v>8</v>
      </c>
      <c r="E317" t="s">
        <v>9</v>
      </c>
      <c r="F317">
        <v>4351.29</v>
      </c>
      <c r="G317">
        <v>816.38</v>
      </c>
    </row>
    <row r="318" spans="1:7" x14ac:dyDescent="0.35">
      <c r="A318" t="s">
        <v>611</v>
      </c>
      <c r="B318" s="1" t="s">
        <v>238</v>
      </c>
      <c r="C318" s="2">
        <f t="shared" si="4"/>
        <v>42674</v>
      </c>
      <c r="D318" t="s">
        <v>12</v>
      </c>
      <c r="E318" t="s">
        <v>13</v>
      </c>
      <c r="F318">
        <v>3907.59</v>
      </c>
      <c r="G318">
        <v>438.27</v>
      </c>
    </row>
    <row r="319" spans="1:7" x14ac:dyDescent="0.35">
      <c r="A319" t="s">
        <v>612</v>
      </c>
      <c r="B319" s="1" t="s">
        <v>131</v>
      </c>
      <c r="C319" s="2">
        <f t="shared" si="4"/>
        <v>43220</v>
      </c>
      <c r="D319" t="s">
        <v>12</v>
      </c>
      <c r="E319" t="s">
        <v>9</v>
      </c>
      <c r="F319">
        <v>789.77</v>
      </c>
      <c r="G319">
        <v>165.84</v>
      </c>
    </row>
    <row r="320" spans="1:7" x14ac:dyDescent="0.35">
      <c r="A320" t="s">
        <v>613</v>
      </c>
      <c r="B320" s="1" t="s">
        <v>614</v>
      </c>
      <c r="C320" s="2">
        <f t="shared" si="4"/>
        <v>43069</v>
      </c>
      <c r="D320" t="s">
        <v>37</v>
      </c>
      <c r="E320" t="s">
        <v>13</v>
      </c>
      <c r="F320">
        <v>2070.2199999999998</v>
      </c>
      <c r="G320">
        <v>343.13</v>
      </c>
    </row>
    <row r="321" spans="1:7" x14ac:dyDescent="0.35">
      <c r="A321" t="s">
        <v>615</v>
      </c>
      <c r="B321" s="1" t="s">
        <v>616</v>
      </c>
      <c r="C321" s="2">
        <f t="shared" si="4"/>
        <v>42825</v>
      </c>
      <c r="D321" t="s">
        <v>12</v>
      </c>
      <c r="E321" t="s">
        <v>9</v>
      </c>
      <c r="F321">
        <v>1028.48</v>
      </c>
      <c r="G321">
        <v>202.1</v>
      </c>
    </row>
    <row r="322" spans="1:7" x14ac:dyDescent="0.35">
      <c r="A322" t="s">
        <v>617</v>
      </c>
      <c r="B322" s="1" t="s">
        <v>618</v>
      </c>
      <c r="C322" s="2">
        <f t="shared" si="4"/>
        <v>43220</v>
      </c>
      <c r="D322" t="s">
        <v>37</v>
      </c>
      <c r="E322" t="s">
        <v>25</v>
      </c>
      <c r="F322">
        <v>4237.68</v>
      </c>
      <c r="G322">
        <v>542.92999999999995</v>
      </c>
    </row>
    <row r="323" spans="1:7" x14ac:dyDescent="0.35">
      <c r="A323" t="s">
        <v>619</v>
      </c>
      <c r="B323" s="1" t="s">
        <v>620</v>
      </c>
      <c r="C323" s="2">
        <f t="shared" ref="C323:C386" si="5">EOMONTH(B323,0)</f>
        <v>42825</v>
      </c>
      <c r="D323" t="s">
        <v>37</v>
      </c>
      <c r="E323" t="s">
        <v>13</v>
      </c>
      <c r="F323">
        <v>3949.94</v>
      </c>
      <c r="G323">
        <v>1149.3499999999999</v>
      </c>
    </row>
    <row r="324" spans="1:7" x14ac:dyDescent="0.35">
      <c r="A324" t="s">
        <v>621</v>
      </c>
      <c r="B324" s="1" t="s">
        <v>622</v>
      </c>
      <c r="C324" s="2">
        <f t="shared" si="5"/>
        <v>42613</v>
      </c>
      <c r="D324" t="s">
        <v>37</v>
      </c>
      <c r="E324" t="s">
        <v>13</v>
      </c>
      <c r="F324">
        <v>875.72</v>
      </c>
      <c r="G324">
        <v>247.17</v>
      </c>
    </row>
    <row r="325" spans="1:7" x14ac:dyDescent="0.35">
      <c r="A325" t="s">
        <v>623</v>
      </c>
      <c r="B325" s="1" t="s">
        <v>624</v>
      </c>
      <c r="C325" s="2">
        <f t="shared" si="5"/>
        <v>43312</v>
      </c>
      <c r="D325" t="s">
        <v>16</v>
      </c>
      <c r="E325" t="s">
        <v>25</v>
      </c>
      <c r="F325">
        <v>930.06</v>
      </c>
      <c r="G325">
        <v>132.49</v>
      </c>
    </row>
    <row r="326" spans="1:7" x14ac:dyDescent="0.35">
      <c r="A326" t="s">
        <v>625</v>
      </c>
      <c r="B326" s="1" t="s">
        <v>626</v>
      </c>
      <c r="C326" s="2">
        <f t="shared" si="5"/>
        <v>43039</v>
      </c>
      <c r="D326" t="s">
        <v>12</v>
      </c>
      <c r="E326" t="s">
        <v>13</v>
      </c>
      <c r="F326">
        <v>4188.54</v>
      </c>
      <c r="G326">
        <v>657.89</v>
      </c>
    </row>
    <row r="327" spans="1:7" x14ac:dyDescent="0.35">
      <c r="A327" t="s">
        <v>627</v>
      </c>
      <c r="B327" s="1" t="s">
        <v>628</v>
      </c>
      <c r="C327" s="2">
        <f t="shared" si="5"/>
        <v>42794</v>
      </c>
      <c r="D327" t="s">
        <v>16</v>
      </c>
      <c r="E327" t="s">
        <v>9</v>
      </c>
      <c r="F327">
        <v>1410.07</v>
      </c>
      <c r="G327">
        <v>283.14</v>
      </c>
    </row>
    <row r="328" spans="1:7" x14ac:dyDescent="0.35">
      <c r="A328" t="s">
        <v>629</v>
      </c>
      <c r="B328" s="1" t="s">
        <v>630</v>
      </c>
      <c r="C328" s="2">
        <f t="shared" si="5"/>
        <v>42886</v>
      </c>
      <c r="D328" t="s">
        <v>12</v>
      </c>
      <c r="E328" t="s">
        <v>13</v>
      </c>
      <c r="F328">
        <v>4033.15</v>
      </c>
      <c r="G328">
        <v>320</v>
      </c>
    </row>
    <row r="329" spans="1:7" x14ac:dyDescent="0.35">
      <c r="A329" t="s">
        <v>631</v>
      </c>
      <c r="B329" s="1" t="s">
        <v>632</v>
      </c>
      <c r="C329" s="2">
        <f t="shared" si="5"/>
        <v>42794</v>
      </c>
      <c r="D329" t="s">
        <v>8</v>
      </c>
      <c r="E329" t="s">
        <v>13</v>
      </c>
      <c r="F329">
        <v>374.54</v>
      </c>
      <c r="G329">
        <v>29.15</v>
      </c>
    </row>
    <row r="330" spans="1:7" x14ac:dyDescent="0.35">
      <c r="A330" t="s">
        <v>633</v>
      </c>
      <c r="B330" s="1" t="s">
        <v>634</v>
      </c>
      <c r="C330" s="2">
        <f t="shared" si="5"/>
        <v>43008</v>
      </c>
      <c r="D330" t="s">
        <v>12</v>
      </c>
      <c r="E330" t="s">
        <v>13</v>
      </c>
      <c r="F330">
        <v>4609.95</v>
      </c>
      <c r="G330">
        <v>485.42</v>
      </c>
    </row>
    <row r="331" spans="1:7" x14ac:dyDescent="0.35">
      <c r="A331" t="s">
        <v>635</v>
      </c>
      <c r="B331" s="1" t="s">
        <v>636</v>
      </c>
      <c r="C331" s="2">
        <f t="shared" si="5"/>
        <v>42855</v>
      </c>
      <c r="D331" t="s">
        <v>8</v>
      </c>
      <c r="E331" t="s">
        <v>9</v>
      </c>
      <c r="F331">
        <v>4453.1499999999996</v>
      </c>
      <c r="G331">
        <v>1257.8800000000001</v>
      </c>
    </row>
    <row r="332" spans="1:7" x14ac:dyDescent="0.35">
      <c r="A332" t="s">
        <v>637</v>
      </c>
      <c r="B332" s="1" t="s">
        <v>638</v>
      </c>
      <c r="C332" s="2">
        <f t="shared" si="5"/>
        <v>42978</v>
      </c>
      <c r="D332" t="s">
        <v>16</v>
      </c>
      <c r="E332" t="s">
        <v>25</v>
      </c>
      <c r="F332">
        <v>2270.1999999999998</v>
      </c>
      <c r="G332">
        <v>465.53</v>
      </c>
    </row>
    <row r="333" spans="1:7" x14ac:dyDescent="0.35">
      <c r="A333" t="s">
        <v>639</v>
      </c>
      <c r="B333" s="1" t="s">
        <v>423</v>
      </c>
      <c r="C333" s="2">
        <f t="shared" si="5"/>
        <v>43251</v>
      </c>
      <c r="D333" t="s">
        <v>37</v>
      </c>
      <c r="E333" t="s">
        <v>13</v>
      </c>
      <c r="F333">
        <v>3189.27</v>
      </c>
      <c r="G333">
        <v>617.33000000000004</v>
      </c>
    </row>
    <row r="334" spans="1:7" x14ac:dyDescent="0.35">
      <c r="A334" t="s">
        <v>640</v>
      </c>
      <c r="B334" s="1" t="s">
        <v>641</v>
      </c>
      <c r="C334" s="2">
        <f t="shared" si="5"/>
        <v>42886</v>
      </c>
      <c r="D334" t="s">
        <v>12</v>
      </c>
      <c r="E334" t="s">
        <v>13</v>
      </c>
      <c r="F334">
        <v>4047.86</v>
      </c>
      <c r="G334">
        <v>624.94000000000005</v>
      </c>
    </row>
    <row r="335" spans="1:7" x14ac:dyDescent="0.35">
      <c r="A335" t="s">
        <v>642</v>
      </c>
      <c r="B335" s="1" t="s">
        <v>643</v>
      </c>
      <c r="C335" s="2">
        <f t="shared" si="5"/>
        <v>43069</v>
      </c>
      <c r="D335" t="s">
        <v>37</v>
      </c>
      <c r="E335" t="s">
        <v>25</v>
      </c>
      <c r="F335">
        <v>2414.81</v>
      </c>
      <c r="G335">
        <v>661.35</v>
      </c>
    </row>
    <row r="336" spans="1:7" x14ac:dyDescent="0.35">
      <c r="A336" t="s">
        <v>644</v>
      </c>
      <c r="B336" s="1" t="s">
        <v>645</v>
      </c>
      <c r="C336" s="2">
        <f t="shared" si="5"/>
        <v>42400</v>
      </c>
      <c r="D336" t="s">
        <v>12</v>
      </c>
      <c r="E336" t="s">
        <v>13</v>
      </c>
      <c r="F336">
        <v>2088.06</v>
      </c>
      <c r="G336">
        <v>376.66</v>
      </c>
    </row>
    <row r="337" spans="1:7" x14ac:dyDescent="0.35">
      <c r="A337" t="s">
        <v>646</v>
      </c>
      <c r="B337" s="1" t="s">
        <v>114</v>
      </c>
      <c r="C337" s="2">
        <f t="shared" si="5"/>
        <v>42886</v>
      </c>
      <c r="D337" t="s">
        <v>8</v>
      </c>
      <c r="E337" t="s">
        <v>9</v>
      </c>
      <c r="F337">
        <v>192.32</v>
      </c>
      <c r="G337">
        <v>47.62</v>
      </c>
    </row>
    <row r="338" spans="1:7" x14ac:dyDescent="0.35">
      <c r="A338" t="s">
        <v>647</v>
      </c>
      <c r="B338" s="1" t="s">
        <v>648</v>
      </c>
      <c r="C338" s="2">
        <f t="shared" si="5"/>
        <v>42947</v>
      </c>
      <c r="D338" t="s">
        <v>8</v>
      </c>
      <c r="E338" t="s">
        <v>25</v>
      </c>
      <c r="F338">
        <v>1938.55</v>
      </c>
      <c r="G338">
        <v>525.41</v>
      </c>
    </row>
    <row r="339" spans="1:7" x14ac:dyDescent="0.35">
      <c r="A339" t="s">
        <v>649</v>
      </c>
      <c r="B339" s="1" t="s">
        <v>650</v>
      </c>
      <c r="C339" s="2">
        <f t="shared" si="5"/>
        <v>43220</v>
      </c>
      <c r="D339" t="s">
        <v>12</v>
      </c>
      <c r="E339" t="s">
        <v>25</v>
      </c>
      <c r="F339">
        <v>718.35</v>
      </c>
      <c r="G339">
        <v>183.04</v>
      </c>
    </row>
    <row r="340" spans="1:7" x14ac:dyDescent="0.35">
      <c r="A340" t="s">
        <v>651</v>
      </c>
      <c r="B340" s="1" t="s">
        <v>496</v>
      </c>
      <c r="C340" s="2">
        <f t="shared" si="5"/>
        <v>42551</v>
      </c>
      <c r="D340" t="s">
        <v>12</v>
      </c>
      <c r="E340" t="s">
        <v>9</v>
      </c>
      <c r="F340">
        <v>3108.6</v>
      </c>
      <c r="G340">
        <v>715.35</v>
      </c>
    </row>
    <row r="341" spans="1:7" x14ac:dyDescent="0.35">
      <c r="A341" t="s">
        <v>652</v>
      </c>
      <c r="B341" s="1" t="s">
        <v>653</v>
      </c>
      <c r="C341" s="2">
        <f t="shared" si="5"/>
        <v>43312</v>
      </c>
      <c r="D341" t="s">
        <v>37</v>
      </c>
      <c r="E341" t="s">
        <v>13</v>
      </c>
      <c r="F341">
        <v>207.48</v>
      </c>
      <c r="G341">
        <v>34.090000000000003</v>
      </c>
    </row>
    <row r="342" spans="1:7" x14ac:dyDescent="0.35">
      <c r="A342" t="s">
        <v>654</v>
      </c>
      <c r="B342" s="1" t="s">
        <v>655</v>
      </c>
      <c r="C342" s="2">
        <f t="shared" si="5"/>
        <v>42551</v>
      </c>
      <c r="D342" t="s">
        <v>37</v>
      </c>
      <c r="E342" t="s">
        <v>9</v>
      </c>
      <c r="F342">
        <v>4444.58</v>
      </c>
      <c r="G342">
        <v>455.98</v>
      </c>
    </row>
    <row r="343" spans="1:7" x14ac:dyDescent="0.35">
      <c r="A343" t="s">
        <v>656</v>
      </c>
      <c r="B343" s="1" t="s">
        <v>600</v>
      </c>
      <c r="C343" s="2">
        <f t="shared" si="5"/>
        <v>42794</v>
      </c>
      <c r="D343" t="s">
        <v>12</v>
      </c>
      <c r="E343" t="s">
        <v>25</v>
      </c>
      <c r="F343">
        <v>590.59</v>
      </c>
      <c r="G343">
        <v>147.86000000000001</v>
      </c>
    </row>
    <row r="344" spans="1:7" x14ac:dyDescent="0.35">
      <c r="A344" t="s">
        <v>657</v>
      </c>
      <c r="B344" s="1" t="s">
        <v>658</v>
      </c>
      <c r="C344" s="2">
        <f t="shared" si="5"/>
        <v>43190</v>
      </c>
      <c r="D344" t="s">
        <v>12</v>
      </c>
      <c r="E344" t="s">
        <v>9</v>
      </c>
      <c r="F344">
        <v>1055.31</v>
      </c>
      <c r="G344">
        <v>260.44</v>
      </c>
    </row>
    <row r="345" spans="1:7" x14ac:dyDescent="0.35">
      <c r="A345" t="s">
        <v>659</v>
      </c>
      <c r="B345" s="1" t="s">
        <v>660</v>
      </c>
      <c r="C345" s="2">
        <f t="shared" si="5"/>
        <v>43251</v>
      </c>
      <c r="D345" t="s">
        <v>37</v>
      </c>
      <c r="E345" t="s">
        <v>25</v>
      </c>
      <c r="F345">
        <v>2476.56</v>
      </c>
      <c r="G345">
        <v>495.44</v>
      </c>
    </row>
    <row r="346" spans="1:7" x14ac:dyDescent="0.35">
      <c r="A346" t="s">
        <v>661</v>
      </c>
      <c r="B346" s="1" t="s">
        <v>662</v>
      </c>
      <c r="C346" s="2">
        <f t="shared" si="5"/>
        <v>43312</v>
      </c>
      <c r="D346" t="s">
        <v>8</v>
      </c>
      <c r="E346" t="s">
        <v>9</v>
      </c>
      <c r="F346">
        <v>1630.72</v>
      </c>
      <c r="G346">
        <v>271.98</v>
      </c>
    </row>
    <row r="347" spans="1:7" x14ac:dyDescent="0.35">
      <c r="A347" t="s">
        <v>663</v>
      </c>
      <c r="B347" s="1" t="s">
        <v>664</v>
      </c>
      <c r="C347" s="2">
        <f t="shared" si="5"/>
        <v>43039</v>
      </c>
      <c r="D347" t="s">
        <v>12</v>
      </c>
      <c r="E347" t="s">
        <v>13</v>
      </c>
      <c r="F347">
        <v>4433.93</v>
      </c>
      <c r="G347">
        <v>746.59</v>
      </c>
    </row>
    <row r="348" spans="1:7" x14ac:dyDescent="0.35">
      <c r="A348" t="s">
        <v>665</v>
      </c>
      <c r="B348" s="1" t="s">
        <v>666</v>
      </c>
      <c r="C348" s="2">
        <f t="shared" si="5"/>
        <v>42521</v>
      </c>
      <c r="D348" t="s">
        <v>16</v>
      </c>
      <c r="E348" t="s">
        <v>13</v>
      </c>
      <c r="F348">
        <v>657.97</v>
      </c>
      <c r="G348">
        <v>43.37</v>
      </c>
    </row>
    <row r="349" spans="1:7" x14ac:dyDescent="0.35">
      <c r="A349" t="s">
        <v>667</v>
      </c>
      <c r="B349" s="1" t="s">
        <v>668</v>
      </c>
      <c r="C349" s="2">
        <f t="shared" si="5"/>
        <v>42613</v>
      </c>
      <c r="D349" t="s">
        <v>12</v>
      </c>
      <c r="E349" t="s">
        <v>25</v>
      </c>
      <c r="F349">
        <v>969.56</v>
      </c>
      <c r="G349">
        <v>71.39</v>
      </c>
    </row>
    <row r="350" spans="1:7" x14ac:dyDescent="0.35">
      <c r="A350" t="s">
        <v>669</v>
      </c>
      <c r="B350" s="1" t="s">
        <v>670</v>
      </c>
      <c r="C350" s="2">
        <f t="shared" si="5"/>
        <v>42490</v>
      </c>
      <c r="D350" t="s">
        <v>16</v>
      </c>
      <c r="E350" t="s">
        <v>25</v>
      </c>
      <c r="F350">
        <v>521.16</v>
      </c>
      <c r="G350">
        <v>88.5</v>
      </c>
    </row>
    <row r="351" spans="1:7" x14ac:dyDescent="0.35">
      <c r="A351" t="s">
        <v>671</v>
      </c>
      <c r="B351" s="1" t="s">
        <v>672</v>
      </c>
      <c r="C351" s="2">
        <f t="shared" si="5"/>
        <v>42400</v>
      </c>
      <c r="D351" t="s">
        <v>8</v>
      </c>
      <c r="E351" t="s">
        <v>13</v>
      </c>
      <c r="F351">
        <v>692.87</v>
      </c>
      <c r="G351">
        <v>167.95</v>
      </c>
    </row>
    <row r="352" spans="1:7" x14ac:dyDescent="0.35">
      <c r="A352" t="s">
        <v>673</v>
      </c>
      <c r="B352" s="1" t="s">
        <v>33</v>
      </c>
      <c r="C352" s="2">
        <f t="shared" si="5"/>
        <v>42978</v>
      </c>
      <c r="D352" t="s">
        <v>8</v>
      </c>
      <c r="E352" t="s">
        <v>13</v>
      </c>
      <c r="F352">
        <v>3981.52</v>
      </c>
      <c r="G352">
        <v>1065.0899999999999</v>
      </c>
    </row>
    <row r="353" spans="1:7" x14ac:dyDescent="0.35">
      <c r="A353" t="s">
        <v>674</v>
      </c>
      <c r="B353" s="1" t="s">
        <v>675</v>
      </c>
      <c r="C353" s="2">
        <f t="shared" si="5"/>
        <v>42794</v>
      </c>
      <c r="D353" t="s">
        <v>8</v>
      </c>
      <c r="E353" t="s">
        <v>13</v>
      </c>
      <c r="F353">
        <v>1005.41</v>
      </c>
      <c r="G353">
        <v>101.63</v>
      </c>
    </row>
    <row r="354" spans="1:7" x14ac:dyDescent="0.35">
      <c r="A354" t="s">
        <v>676</v>
      </c>
      <c r="B354" s="1" t="s">
        <v>677</v>
      </c>
      <c r="C354" s="2">
        <f t="shared" si="5"/>
        <v>42460</v>
      </c>
      <c r="D354" t="s">
        <v>8</v>
      </c>
      <c r="E354" t="s">
        <v>25</v>
      </c>
      <c r="F354">
        <v>4858.2</v>
      </c>
      <c r="G354">
        <v>373.58</v>
      </c>
    </row>
    <row r="355" spans="1:7" x14ac:dyDescent="0.35">
      <c r="A355" t="s">
        <v>678</v>
      </c>
      <c r="B355" s="1" t="s">
        <v>679</v>
      </c>
      <c r="C355" s="2">
        <f t="shared" si="5"/>
        <v>42429</v>
      </c>
      <c r="D355" t="s">
        <v>16</v>
      </c>
      <c r="E355" t="s">
        <v>25</v>
      </c>
      <c r="F355">
        <v>453.35</v>
      </c>
      <c r="G355">
        <v>123.96</v>
      </c>
    </row>
    <row r="356" spans="1:7" x14ac:dyDescent="0.35">
      <c r="A356" t="s">
        <v>680</v>
      </c>
      <c r="B356" s="1" t="s">
        <v>457</v>
      </c>
      <c r="C356" s="2">
        <f t="shared" si="5"/>
        <v>42916</v>
      </c>
      <c r="D356" t="s">
        <v>8</v>
      </c>
      <c r="E356" t="s">
        <v>13</v>
      </c>
      <c r="F356">
        <v>2147.29</v>
      </c>
      <c r="G356">
        <v>406.79</v>
      </c>
    </row>
    <row r="357" spans="1:7" x14ac:dyDescent="0.35">
      <c r="A357" t="s">
        <v>681</v>
      </c>
      <c r="B357" s="1" t="s">
        <v>682</v>
      </c>
      <c r="C357" s="2">
        <f t="shared" si="5"/>
        <v>42582</v>
      </c>
      <c r="D357" t="s">
        <v>16</v>
      </c>
      <c r="E357" t="s">
        <v>25</v>
      </c>
      <c r="F357">
        <v>370.82</v>
      </c>
      <c r="G357">
        <v>45.68</v>
      </c>
    </row>
    <row r="358" spans="1:7" x14ac:dyDescent="0.35">
      <c r="A358" t="s">
        <v>683</v>
      </c>
      <c r="B358" s="1" t="s">
        <v>684</v>
      </c>
      <c r="C358" s="2">
        <f t="shared" si="5"/>
        <v>43159</v>
      </c>
      <c r="D358" t="s">
        <v>12</v>
      </c>
      <c r="E358" t="s">
        <v>25</v>
      </c>
      <c r="F358">
        <v>2615.85</v>
      </c>
      <c r="G358">
        <v>458.69</v>
      </c>
    </row>
    <row r="359" spans="1:7" x14ac:dyDescent="0.35">
      <c r="A359" t="s">
        <v>685</v>
      </c>
      <c r="B359" s="1" t="s">
        <v>686</v>
      </c>
      <c r="C359" s="2">
        <f t="shared" si="5"/>
        <v>43281</v>
      </c>
      <c r="D359" t="s">
        <v>37</v>
      </c>
      <c r="E359" t="s">
        <v>9</v>
      </c>
      <c r="F359">
        <v>4188.1099999999997</v>
      </c>
      <c r="G359">
        <v>834.43</v>
      </c>
    </row>
    <row r="360" spans="1:7" x14ac:dyDescent="0.35">
      <c r="A360" t="s">
        <v>687</v>
      </c>
      <c r="B360" s="1" t="s">
        <v>688</v>
      </c>
      <c r="C360" s="2">
        <f t="shared" si="5"/>
        <v>42704</v>
      </c>
      <c r="D360" t="s">
        <v>12</v>
      </c>
      <c r="E360" t="s">
        <v>25</v>
      </c>
      <c r="F360">
        <v>382.24</v>
      </c>
      <c r="G360">
        <v>36.4</v>
      </c>
    </row>
    <row r="361" spans="1:7" x14ac:dyDescent="0.35">
      <c r="A361" t="s">
        <v>689</v>
      </c>
      <c r="B361" s="1" t="s">
        <v>258</v>
      </c>
      <c r="C361" s="2">
        <f t="shared" si="5"/>
        <v>42916</v>
      </c>
      <c r="D361" t="s">
        <v>37</v>
      </c>
      <c r="E361" t="s">
        <v>13</v>
      </c>
      <c r="F361">
        <v>3710.08</v>
      </c>
      <c r="G361">
        <v>558.07000000000005</v>
      </c>
    </row>
    <row r="362" spans="1:7" x14ac:dyDescent="0.35">
      <c r="A362" t="s">
        <v>690</v>
      </c>
      <c r="B362" s="1" t="s">
        <v>195</v>
      </c>
      <c r="C362" s="2">
        <f t="shared" si="5"/>
        <v>42521</v>
      </c>
      <c r="D362" t="s">
        <v>12</v>
      </c>
      <c r="E362" t="s">
        <v>25</v>
      </c>
      <c r="F362">
        <v>2316.2800000000002</v>
      </c>
      <c r="G362">
        <v>249.47</v>
      </c>
    </row>
    <row r="363" spans="1:7" x14ac:dyDescent="0.35">
      <c r="A363" t="s">
        <v>691</v>
      </c>
      <c r="B363" s="1" t="s">
        <v>692</v>
      </c>
      <c r="C363" s="2">
        <f t="shared" si="5"/>
        <v>42643</v>
      </c>
      <c r="D363" t="s">
        <v>12</v>
      </c>
      <c r="E363" t="s">
        <v>9</v>
      </c>
      <c r="F363">
        <v>1852.35</v>
      </c>
      <c r="G363">
        <v>257.37</v>
      </c>
    </row>
    <row r="364" spans="1:7" x14ac:dyDescent="0.35">
      <c r="A364" t="s">
        <v>693</v>
      </c>
      <c r="B364" s="1" t="s">
        <v>694</v>
      </c>
      <c r="C364" s="2">
        <f t="shared" si="5"/>
        <v>43343</v>
      </c>
      <c r="D364" t="s">
        <v>37</v>
      </c>
      <c r="E364" t="s">
        <v>9</v>
      </c>
      <c r="F364">
        <v>4443.16</v>
      </c>
      <c r="G364">
        <v>1253.45</v>
      </c>
    </row>
    <row r="365" spans="1:7" x14ac:dyDescent="0.35">
      <c r="A365" t="s">
        <v>695</v>
      </c>
      <c r="B365" s="1" t="s">
        <v>696</v>
      </c>
      <c r="C365" s="2">
        <f t="shared" si="5"/>
        <v>42704</v>
      </c>
      <c r="D365" t="s">
        <v>16</v>
      </c>
      <c r="E365" t="s">
        <v>13</v>
      </c>
      <c r="F365">
        <v>4562.37</v>
      </c>
      <c r="G365">
        <v>600.62</v>
      </c>
    </row>
    <row r="366" spans="1:7" x14ac:dyDescent="0.35">
      <c r="A366" t="s">
        <v>697</v>
      </c>
      <c r="B366" s="1" t="s">
        <v>698</v>
      </c>
      <c r="C366" s="2">
        <f t="shared" si="5"/>
        <v>42825</v>
      </c>
      <c r="D366" t="s">
        <v>8</v>
      </c>
      <c r="E366" t="s">
        <v>25</v>
      </c>
      <c r="F366">
        <v>2134.9499999999998</v>
      </c>
      <c r="G366">
        <v>254.16</v>
      </c>
    </row>
    <row r="367" spans="1:7" x14ac:dyDescent="0.35">
      <c r="A367" t="s">
        <v>699</v>
      </c>
      <c r="B367" s="1" t="s">
        <v>700</v>
      </c>
      <c r="C367" s="2">
        <f t="shared" si="5"/>
        <v>42825</v>
      </c>
      <c r="D367" t="s">
        <v>37</v>
      </c>
      <c r="E367" t="s">
        <v>9</v>
      </c>
      <c r="F367">
        <v>1004.69</v>
      </c>
      <c r="G367">
        <v>300.62</v>
      </c>
    </row>
    <row r="368" spans="1:7" x14ac:dyDescent="0.35">
      <c r="A368" t="s">
        <v>701</v>
      </c>
      <c r="B368" s="1" t="s">
        <v>702</v>
      </c>
      <c r="C368" s="2">
        <f t="shared" si="5"/>
        <v>42490</v>
      </c>
      <c r="D368" t="s">
        <v>12</v>
      </c>
      <c r="E368" t="s">
        <v>9</v>
      </c>
      <c r="F368">
        <v>2512.42</v>
      </c>
      <c r="G368">
        <v>585.69000000000005</v>
      </c>
    </row>
    <row r="369" spans="1:7" x14ac:dyDescent="0.35">
      <c r="A369" t="s">
        <v>703</v>
      </c>
      <c r="B369" s="1" t="s">
        <v>704</v>
      </c>
      <c r="C369" s="2">
        <f t="shared" si="5"/>
        <v>43373</v>
      </c>
      <c r="D369" t="s">
        <v>37</v>
      </c>
      <c r="E369" t="s">
        <v>25</v>
      </c>
      <c r="F369">
        <v>1109.43</v>
      </c>
      <c r="G369">
        <v>90.71</v>
      </c>
    </row>
    <row r="370" spans="1:7" x14ac:dyDescent="0.35">
      <c r="A370" t="s">
        <v>705</v>
      </c>
      <c r="B370" s="1" t="s">
        <v>706</v>
      </c>
      <c r="C370" s="2">
        <f t="shared" si="5"/>
        <v>42704</v>
      </c>
      <c r="D370" t="s">
        <v>16</v>
      </c>
      <c r="E370" t="s">
        <v>9</v>
      </c>
      <c r="F370">
        <v>3296.13</v>
      </c>
      <c r="G370">
        <v>402.08</v>
      </c>
    </row>
    <row r="371" spans="1:7" x14ac:dyDescent="0.35">
      <c r="A371" t="s">
        <v>707</v>
      </c>
      <c r="B371" s="1" t="s">
        <v>708</v>
      </c>
      <c r="C371" s="2">
        <f t="shared" si="5"/>
        <v>42825</v>
      </c>
      <c r="D371" t="s">
        <v>12</v>
      </c>
      <c r="E371" t="s">
        <v>13</v>
      </c>
      <c r="F371">
        <v>4594.07</v>
      </c>
      <c r="G371">
        <v>244.75</v>
      </c>
    </row>
    <row r="372" spans="1:7" x14ac:dyDescent="0.35">
      <c r="A372" t="s">
        <v>709</v>
      </c>
      <c r="B372" s="1" t="s">
        <v>710</v>
      </c>
      <c r="C372" s="2">
        <f t="shared" si="5"/>
        <v>42429</v>
      </c>
      <c r="D372" t="s">
        <v>37</v>
      </c>
      <c r="E372" t="s">
        <v>13</v>
      </c>
      <c r="F372">
        <v>2362.3000000000002</v>
      </c>
      <c r="G372">
        <v>280.37</v>
      </c>
    </row>
    <row r="373" spans="1:7" x14ac:dyDescent="0.35">
      <c r="A373" t="s">
        <v>711</v>
      </c>
      <c r="B373" s="1" t="s">
        <v>712</v>
      </c>
      <c r="C373" s="2">
        <f t="shared" si="5"/>
        <v>43039</v>
      </c>
      <c r="D373" t="s">
        <v>16</v>
      </c>
      <c r="E373" t="s">
        <v>13</v>
      </c>
      <c r="F373">
        <v>2488.3000000000002</v>
      </c>
      <c r="G373">
        <v>718.46</v>
      </c>
    </row>
    <row r="374" spans="1:7" x14ac:dyDescent="0.35">
      <c r="A374" t="s">
        <v>713</v>
      </c>
      <c r="B374" s="1" t="s">
        <v>405</v>
      </c>
      <c r="C374" s="2">
        <f t="shared" si="5"/>
        <v>42947</v>
      </c>
      <c r="D374" t="s">
        <v>37</v>
      </c>
      <c r="E374" t="s">
        <v>25</v>
      </c>
      <c r="F374">
        <v>1378.95</v>
      </c>
      <c r="G374">
        <v>147.96</v>
      </c>
    </row>
    <row r="375" spans="1:7" x14ac:dyDescent="0.35">
      <c r="A375" t="s">
        <v>714</v>
      </c>
      <c r="B375" s="1" t="s">
        <v>715</v>
      </c>
      <c r="C375" s="2">
        <f t="shared" si="5"/>
        <v>42551</v>
      </c>
      <c r="D375" t="s">
        <v>8</v>
      </c>
      <c r="E375" t="s">
        <v>25</v>
      </c>
      <c r="F375">
        <v>810.7</v>
      </c>
      <c r="G375">
        <v>214.37</v>
      </c>
    </row>
    <row r="376" spans="1:7" x14ac:dyDescent="0.35">
      <c r="A376" t="s">
        <v>716</v>
      </c>
      <c r="B376" s="1" t="s">
        <v>717</v>
      </c>
      <c r="C376" s="2">
        <f t="shared" si="5"/>
        <v>43008</v>
      </c>
      <c r="D376" t="s">
        <v>12</v>
      </c>
      <c r="E376" t="s">
        <v>25</v>
      </c>
      <c r="F376">
        <v>1783.48</v>
      </c>
      <c r="G376">
        <v>263.06</v>
      </c>
    </row>
    <row r="377" spans="1:7" x14ac:dyDescent="0.35">
      <c r="A377" t="s">
        <v>718</v>
      </c>
      <c r="B377" s="1" t="s">
        <v>719</v>
      </c>
      <c r="C377" s="2">
        <f t="shared" si="5"/>
        <v>43220</v>
      </c>
      <c r="D377" t="s">
        <v>16</v>
      </c>
      <c r="E377" t="s">
        <v>25</v>
      </c>
      <c r="F377">
        <v>1496.01</v>
      </c>
      <c r="G377">
        <v>388.71</v>
      </c>
    </row>
    <row r="378" spans="1:7" x14ac:dyDescent="0.35">
      <c r="A378" t="s">
        <v>720</v>
      </c>
      <c r="B378" s="1" t="s">
        <v>721</v>
      </c>
      <c r="C378" s="2">
        <f t="shared" si="5"/>
        <v>42429</v>
      </c>
      <c r="D378" t="s">
        <v>16</v>
      </c>
      <c r="E378" t="s">
        <v>13</v>
      </c>
      <c r="F378">
        <v>3414.07</v>
      </c>
      <c r="G378">
        <v>328.77</v>
      </c>
    </row>
    <row r="379" spans="1:7" x14ac:dyDescent="0.35">
      <c r="A379" t="s">
        <v>722</v>
      </c>
      <c r="B379" s="1" t="s">
        <v>723</v>
      </c>
      <c r="C379" s="2">
        <f t="shared" si="5"/>
        <v>43312</v>
      </c>
      <c r="D379" t="s">
        <v>37</v>
      </c>
      <c r="E379" t="s">
        <v>9</v>
      </c>
      <c r="F379">
        <v>3805.83</v>
      </c>
      <c r="G379">
        <v>496.34</v>
      </c>
    </row>
    <row r="380" spans="1:7" x14ac:dyDescent="0.35">
      <c r="A380" t="s">
        <v>724</v>
      </c>
      <c r="B380" s="1" t="s">
        <v>725</v>
      </c>
      <c r="C380" s="2">
        <f t="shared" si="5"/>
        <v>42886</v>
      </c>
      <c r="D380" t="s">
        <v>16</v>
      </c>
      <c r="E380" t="s">
        <v>13</v>
      </c>
      <c r="F380">
        <v>1016.23</v>
      </c>
      <c r="G380">
        <v>287</v>
      </c>
    </row>
    <row r="381" spans="1:7" x14ac:dyDescent="0.35">
      <c r="A381" t="s">
        <v>726</v>
      </c>
      <c r="B381" s="1" t="s">
        <v>727</v>
      </c>
      <c r="C381" s="2">
        <f t="shared" si="5"/>
        <v>42794</v>
      </c>
      <c r="D381" t="s">
        <v>16</v>
      </c>
      <c r="E381" t="s">
        <v>13</v>
      </c>
      <c r="F381">
        <v>2685.66</v>
      </c>
      <c r="G381">
        <v>508.27</v>
      </c>
    </row>
    <row r="382" spans="1:7" x14ac:dyDescent="0.35">
      <c r="A382" t="s">
        <v>728</v>
      </c>
      <c r="B382" s="1" t="s">
        <v>98</v>
      </c>
      <c r="C382" s="2">
        <f t="shared" si="5"/>
        <v>42855</v>
      </c>
      <c r="D382" t="s">
        <v>16</v>
      </c>
      <c r="E382" t="s">
        <v>9</v>
      </c>
      <c r="F382">
        <v>1014.3</v>
      </c>
      <c r="G382">
        <v>152.78</v>
      </c>
    </row>
    <row r="383" spans="1:7" x14ac:dyDescent="0.35">
      <c r="A383" t="s">
        <v>729</v>
      </c>
      <c r="B383" s="1" t="s">
        <v>730</v>
      </c>
      <c r="C383" s="2">
        <f t="shared" si="5"/>
        <v>42947</v>
      </c>
      <c r="D383" t="s">
        <v>37</v>
      </c>
      <c r="E383" t="s">
        <v>9</v>
      </c>
      <c r="F383">
        <v>156.77000000000001</v>
      </c>
      <c r="G383">
        <v>29.44</v>
      </c>
    </row>
    <row r="384" spans="1:7" x14ac:dyDescent="0.35">
      <c r="A384" t="s">
        <v>731</v>
      </c>
      <c r="B384" s="1" t="s">
        <v>732</v>
      </c>
      <c r="C384" s="2">
        <f t="shared" si="5"/>
        <v>42643</v>
      </c>
      <c r="D384" t="s">
        <v>37</v>
      </c>
      <c r="E384" t="s">
        <v>25</v>
      </c>
      <c r="F384">
        <v>721.45</v>
      </c>
      <c r="G384">
        <v>140.43</v>
      </c>
    </row>
    <row r="385" spans="1:7" x14ac:dyDescent="0.35">
      <c r="A385" t="s">
        <v>733</v>
      </c>
      <c r="B385" s="1" t="s">
        <v>734</v>
      </c>
      <c r="C385" s="2">
        <f t="shared" si="5"/>
        <v>42766</v>
      </c>
      <c r="D385" t="s">
        <v>8</v>
      </c>
      <c r="E385" t="s">
        <v>25</v>
      </c>
      <c r="F385">
        <v>4192.38</v>
      </c>
      <c r="G385">
        <v>636.6</v>
      </c>
    </row>
    <row r="386" spans="1:7" x14ac:dyDescent="0.35">
      <c r="A386" t="s">
        <v>735</v>
      </c>
      <c r="B386" s="1" t="s">
        <v>736</v>
      </c>
      <c r="C386" s="2">
        <f t="shared" si="5"/>
        <v>43343</v>
      </c>
      <c r="D386" t="s">
        <v>8</v>
      </c>
      <c r="E386" t="s">
        <v>25</v>
      </c>
      <c r="F386">
        <v>1441.75</v>
      </c>
      <c r="G386">
        <v>180.38</v>
      </c>
    </row>
    <row r="387" spans="1:7" x14ac:dyDescent="0.35">
      <c r="A387" t="s">
        <v>737</v>
      </c>
      <c r="B387" s="1" t="s">
        <v>624</v>
      </c>
      <c r="C387" s="2">
        <f t="shared" ref="C387:C450" si="6">EOMONTH(B387,0)</f>
        <v>43312</v>
      </c>
      <c r="D387" t="s">
        <v>12</v>
      </c>
      <c r="E387" t="s">
        <v>25</v>
      </c>
      <c r="F387">
        <v>4385.59</v>
      </c>
      <c r="G387">
        <v>720.63</v>
      </c>
    </row>
    <row r="388" spans="1:7" x14ac:dyDescent="0.35">
      <c r="A388" t="s">
        <v>738</v>
      </c>
      <c r="B388" s="1" t="s">
        <v>739</v>
      </c>
      <c r="C388" s="2">
        <f t="shared" si="6"/>
        <v>43373</v>
      </c>
      <c r="D388" t="s">
        <v>16</v>
      </c>
      <c r="E388" t="s">
        <v>13</v>
      </c>
      <c r="F388">
        <v>1430.4</v>
      </c>
      <c r="G388">
        <v>268.35000000000002</v>
      </c>
    </row>
    <row r="389" spans="1:7" x14ac:dyDescent="0.35">
      <c r="A389" t="s">
        <v>740</v>
      </c>
      <c r="B389" s="1" t="s">
        <v>741</v>
      </c>
      <c r="C389" s="2">
        <f t="shared" si="6"/>
        <v>43131</v>
      </c>
      <c r="D389" t="s">
        <v>12</v>
      </c>
      <c r="E389" t="s">
        <v>25</v>
      </c>
      <c r="F389">
        <v>2966.04</v>
      </c>
      <c r="G389">
        <v>619.16999999999996</v>
      </c>
    </row>
    <row r="390" spans="1:7" x14ac:dyDescent="0.35">
      <c r="A390" t="s">
        <v>742</v>
      </c>
      <c r="B390" s="1" t="s">
        <v>743</v>
      </c>
      <c r="C390" s="2">
        <f t="shared" si="6"/>
        <v>42460</v>
      </c>
      <c r="D390" t="s">
        <v>12</v>
      </c>
      <c r="E390" t="s">
        <v>25</v>
      </c>
      <c r="F390">
        <v>2503.85</v>
      </c>
      <c r="G390">
        <v>568.9</v>
      </c>
    </row>
    <row r="391" spans="1:7" x14ac:dyDescent="0.35">
      <c r="A391" t="s">
        <v>744</v>
      </c>
      <c r="B391" s="1" t="s">
        <v>700</v>
      </c>
      <c r="C391" s="2">
        <f t="shared" si="6"/>
        <v>42825</v>
      </c>
      <c r="D391" t="s">
        <v>16</v>
      </c>
      <c r="E391" t="s">
        <v>13</v>
      </c>
      <c r="F391">
        <v>558.91999999999996</v>
      </c>
      <c r="G391">
        <v>95.53</v>
      </c>
    </row>
    <row r="392" spans="1:7" x14ac:dyDescent="0.35">
      <c r="A392" t="s">
        <v>745</v>
      </c>
      <c r="B392" s="1" t="s">
        <v>708</v>
      </c>
      <c r="C392" s="2">
        <f t="shared" si="6"/>
        <v>42825</v>
      </c>
      <c r="D392" t="s">
        <v>16</v>
      </c>
      <c r="E392" t="s">
        <v>25</v>
      </c>
      <c r="F392">
        <v>2499.21</v>
      </c>
      <c r="G392">
        <v>622.5</v>
      </c>
    </row>
    <row r="393" spans="1:7" x14ac:dyDescent="0.35">
      <c r="A393" t="s">
        <v>746</v>
      </c>
      <c r="B393" s="1" t="s">
        <v>747</v>
      </c>
      <c r="C393" s="2">
        <f t="shared" si="6"/>
        <v>43281</v>
      </c>
      <c r="D393" t="s">
        <v>8</v>
      </c>
      <c r="E393" t="s">
        <v>13</v>
      </c>
      <c r="F393">
        <v>1209.04</v>
      </c>
      <c r="G393">
        <v>191.05</v>
      </c>
    </row>
    <row r="394" spans="1:7" x14ac:dyDescent="0.35">
      <c r="A394" t="s">
        <v>748</v>
      </c>
      <c r="B394" s="1" t="s">
        <v>749</v>
      </c>
      <c r="C394" s="2">
        <f t="shared" si="6"/>
        <v>43312</v>
      </c>
      <c r="D394" t="s">
        <v>8</v>
      </c>
      <c r="E394" t="s">
        <v>25</v>
      </c>
      <c r="F394">
        <v>3994.52</v>
      </c>
      <c r="G394">
        <v>844.38</v>
      </c>
    </row>
    <row r="395" spans="1:7" x14ac:dyDescent="0.35">
      <c r="A395" t="s">
        <v>750</v>
      </c>
      <c r="B395" s="1" t="s">
        <v>555</v>
      </c>
      <c r="C395" s="2">
        <f t="shared" si="6"/>
        <v>42613</v>
      </c>
      <c r="D395" t="s">
        <v>12</v>
      </c>
      <c r="E395" t="s">
        <v>13</v>
      </c>
      <c r="F395">
        <v>3544.11</v>
      </c>
      <c r="G395">
        <v>308.12</v>
      </c>
    </row>
    <row r="396" spans="1:7" x14ac:dyDescent="0.35">
      <c r="A396" t="s">
        <v>751</v>
      </c>
      <c r="B396" s="1" t="s">
        <v>752</v>
      </c>
      <c r="C396" s="2">
        <f t="shared" si="6"/>
        <v>42794</v>
      </c>
      <c r="D396" t="s">
        <v>16</v>
      </c>
      <c r="E396" t="s">
        <v>13</v>
      </c>
      <c r="F396">
        <v>2480.27</v>
      </c>
      <c r="G396">
        <v>391.65</v>
      </c>
    </row>
    <row r="397" spans="1:7" x14ac:dyDescent="0.35">
      <c r="A397" t="s">
        <v>753</v>
      </c>
      <c r="B397" s="1" t="s">
        <v>594</v>
      </c>
      <c r="C397" s="2">
        <f t="shared" si="6"/>
        <v>42794</v>
      </c>
      <c r="D397" t="s">
        <v>8</v>
      </c>
      <c r="E397" t="s">
        <v>9</v>
      </c>
      <c r="F397">
        <v>4367.99</v>
      </c>
      <c r="G397">
        <v>1028.6400000000001</v>
      </c>
    </row>
    <row r="398" spans="1:7" x14ac:dyDescent="0.35">
      <c r="A398" t="s">
        <v>754</v>
      </c>
      <c r="B398" s="1" t="s">
        <v>31</v>
      </c>
      <c r="C398" s="2">
        <f t="shared" si="6"/>
        <v>43343</v>
      </c>
      <c r="D398" t="s">
        <v>37</v>
      </c>
      <c r="E398" t="s">
        <v>13</v>
      </c>
      <c r="F398">
        <v>4977.43</v>
      </c>
      <c r="G398">
        <v>528.82000000000005</v>
      </c>
    </row>
    <row r="399" spans="1:7" x14ac:dyDescent="0.35">
      <c r="A399" t="s">
        <v>755</v>
      </c>
      <c r="B399" s="1" t="s">
        <v>756</v>
      </c>
      <c r="C399" s="2">
        <f t="shared" si="6"/>
        <v>42916</v>
      </c>
      <c r="D399" t="s">
        <v>8</v>
      </c>
      <c r="E399" t="s">
        <v>25</v>
      </c>
      <c r="F399">
        <v>726.1</v>
      </c>
      <c r="G399">
        <v>171.67</v>
      </c>
    </row>
    <row r="400" spans="1:7" x14ac:dyDescent="0.35">
      <c r="A400" t="s">
        <v>757</v>
      </c>
      <c r="B400" s="1" t="s">
        <v>758</v>
      </c>
      <c r="C400" s="2">
        <f t="shared" si="6"/>
        <v>42947</v>
      </c>
      <c r="D400" t="s">
        <v>16</v>
      </c>
      <c r="E400" t="s">
        <v>9</v>
      </c>
      <c r="F400">
        <v>1504.55</v>
      </c>
      <c r="G400">
        <v>279.58999999999997</v>
      </c>
    </row>
    <row r="401" spans="1:7" x14ac:dyDescent="0.35">
      <c r="A401" t="s">
        <v>759</v>
      </c>
      <c r="B401" s="1" t="s">
        <v>760</v>
      </c>
      <c r="C401" s="2">
        <f t="shared" si="6"/>
        <v>42947</v>
      </c>
      <c r="D401" t="s">
        <v>16</v>
      </c>
      <c r="E401" t="s">
        <v>25</v>
      </c>
      <c r="F401">
        <v>2712.58</v>
      </c>
      <c r="G401">
        <v>485.77</v>
      </c>
    </row>
    <row r="402" spans="1:7" x14ac:dyDescent="0.35">
      <c r="A402" t="s">
        <v>761</v>
      </c>
      <c r="B402" s="1" t="s">
        <v>762</v>
      </c>
      <c r="C402" s="2">
        <f t="shared" si="6"/>
        <v>43343</v>
      </c>
      <c r="D402" t="s">
        <v>12</v>
      </c>
      <c r="E402" t="s">
        <v>25</v>
      </c>
      <c r="F402">
        <v>832.42</v>
      </c>
      <c r="G402">
        <v>155.44</v>
      </c>
    </row>
    <row r="403" spans="1:7" x14ac:dyDescent="0.35">
      <c r="A403" t="s">
        <v>763</v>
      </c>
      <c r="B403" s="1" t="s">
        <v>764</v>
      </c>
      <c r="C403" s="2">
        <f t="shared" si="6"/>
        <v>42521</v>
      </c>
      <c r="D403" t="s">
        <v>8</v>
      </c>
      <c r="E403" t="s">
        <v>13</v>
      </c>
      <c r="F403">
        <v>1370.5</v>
      </c>
      <c r="G403">
        <v>85.28</v>
      </c>
    </row>
    <row r="404" spans="1:7" x14ac:dyDescent="0.35">
      <c r="A404" t="s">
        <v>765</v>
      </c>
      <c r="B404" s="1" t="s">
        <v>634</v>
      </c>
      <c r="C404" s="2">
        <f t="shared" si="6"/>
        <v>43008</v>
      </c>
      <c r="D404" t="s">
        <v>16</v>
      </c>
      <c r="E404" t="s">
        <v>13</v>
      </c>
      <c r="F404">
        <v>2898.36</v>
      </c>
      <c r="G404">
        <v>304.77</v>
      </c>
    </row>
    <row r="405" spans="1:7" x14ac:dyDescent="0.35">
      <c r="A405" t="s">
        <v>766</v>
      </c>
      <c r="B405" s="1" t="s">
        <v>767</v>
      </c>
      <c r="C405" s="2">
        <f t="shared" si="6"/>
        <v>42613</v>
      </c>
      <c r="D405" t="s">
        <v>16</v>
      </c>
      <c r="E405" t="s">
        <v>25</v>
      </c>
      <c r="F405">
        <v>1453.33</v>
      </c>
      <c r="G405">
        <v>204.05</v>
      </c>
    </row>
    <row r="406" spans="1:7" x14ac:dyDescent="0.35">
      <c r="A406" t="s">
        <v>768</v>
      </c>
      <c r="B406" s="1" t="s">
        <v>769</v>
      </c>
      <c r="C406" s="2">
        <f t="shared" si="6"/>
        <v>42825</v>
      </c>
      <c r="D406" t="s">
        <v>16</v>
      </c>
      <c r="E406" t="s">
        <v>25</v>
      </c>
      <c r="F406">
        <v>868.6</v>
      </c>
      <c r="G406">
        <v>218.13</v>
      </c>
    </row>
    <row r="407" spans="1:7" x14ac:dyDescent="0.35">
      <c r="A407" t="s">
        <v>770</v>
      </c>
      <c r="B407" s="1" t="s">
        <v>771</v>
      </c>
      <c r="C407" s="2">
        <f t="shared" si="6"/>
        <v>42400</v>
      </c>
      <c r="D407" t="s">
        <v>37</v>
      </c>
      <c r="E407" t="s">
        <v>25</v>
      </c>
      <c r="F407">
        <v>2711.5</v>
      </c>
      <c r="G407">
        <v>150.38</v>
      </c>
    </row>
    <row r="408" spans="1:7" x14ac:dyDescent="0.35">
      <c r="A408" t="s">
        <v>772</v>
      </c>
      <c r="B408" s="1" t="s">
        <v>167</v>
      </c>
      <c r="C408" s="2">
        <f t="shared" si="6"/>
        <v>42916</v>
      </c>
      <c r="D408" t="s">
        <v>37</v>
      </c>
      <c r="E408" t="s">
        <v>25</v>
      </c>
      <c r="F408">
        <v>1436.17</v>
      </c>
      <c r="G408">
        <v>400.49</v>
      </c>
    </row>
    <row r="409" spans="1:7" x14ac:dyDescent="0.35">
      <c r="A409" t="s">
        <v>773</v>
      </c>
      <c r="B409" s="1" t="s">
        <v>351</v>
      </c>
      <c r="C409" s="2">
        <f t="shared" si="6"/>
        <v>42460</v>
      </c>
      <c r="D409" t="s">
        <v>16</v>
      </c>
      <c r="E409" t="s">
        <v>9</v>
      </c>
      <c r="F409">
        <v>435.43</v>
      </c>
      <c r="G409">
        <v>98.09</v>
      </c>
    </row>
    <row r="410" spans="1:7" x14ac:dyDescent="0.35">
      <c r="A410" t="s">
        <v>774</v>
      </c>
      <c r="B410" s="1" t="s">
        <v>351</v>
      </c>
      <c r="C410" s="2">
        <f t="shared" si="6"/>
        <v>42460</v>
      </c>
      <c r="D410" t="s">
        <v>12</v>
      </c>
      <c r="E410" t="s">
        <v>25</v>
      </c>
      <c r="F410">
        <v>2771.76</v>
      </c>
      <c r="G410">
        <v>218.98</v>
      </c>
    </row>
    <row r="411" spans="1:7" x14ac:dyDescent="0.35">
      <c r="A411" t="s">
        <v>775</v>
      </c>
      <c r="B411" s="1" t="s">
        <v>413</v>
      </c>
      <c r="C411" s="2">
        <f t="shared" si="6"/>
        <v>42794</v>
      </c>
      <c r="D411" t="s">
        <v>12</v>
      </c>
      <c r="E411" t="s">
        <v>9</v>
      </c>
      <c r="F411">
        <v>4709.57</v>
      </c>
      <c r="G411">
        <v>434.53</v>
      </c>
    </row>
    <row r="412" spans="1:7" x14ac:dyDescent="0.35">
      <c r="A412" t="s">
        <v>776</v>
      </c>
      <c r="B412" s="1" t="s">
        <v>777</v>
      </c>
      <c r="C412" s="2">
        <f t="shared" si="6"/>
        <v>42947</v>
      </c>
      <c r="D412" t="s">
        <v>12</v>
      </c>
      <c r="E412" t="s">
        <v>13</v>
      </c>
      <c r="F412">
        <v>2625.32</v>
      </c>
      <c r="G412">
        <v>394.71</v>
      </c>
    </row>
    <row r="413" spans="1:7" x14ac:dyDescent="0.35">
      <c r="A413" t="s">
        <v>778</v>
      </c>
      <c r="B413" s="1" t="s">
        <v>779</v>
      </c>
      <c r="C413" s="2">
        <f t="shared" si="6"/>
        <v>43039</v>
      </c>
      <c r="D413" t="s">
        <v>37</v>
      </c>
      <c r="E413" t="s">
        <v>25</v>
      </c>
      <c r="F413">
        <v>2878.67</v>
      </c>
      <c r="G413">
        <v>163.5</v>
      </c>
    </row>
    <row r="414" spans="1:7" x14ac:dyDescent="0.35">
      <c r="A414" t="s">
        <v>780</v>
      </c>
      <c r="B414" s="1" t="s">
        <v>92</v>
      </c>
      <c r="C414" s="2">
        <f t="shared" si="6"/>
        <v>42735</v>
      </c>
      <c r="D414" t="s">
        <v>12</v>
      </c>
      <c r="E414" t="s">
        <v>25</v>
      </c>
      <c r="F414">
        <v>3124.18</v>
      </c>
      <c r="G414">
        <v>511.05</v>
      </c>
    </row>
    <row r="415" spans="1:7" x14ac:dyDescent="0.35">
      <c r="A415" t="s">
        <v>781</v>
      </c>
      <c r="B415" s="1" t="s">
        <v>193</v>
      </c>
      <c r="C415" s="2">
        <f t="shared" si="6"/>
        <v>43281</v>
      </c>
      <c r="D415" t="s">
        <v>12</v>
      </c>
      <c r="E415" t="s">
        <v>13</v>
      </c>
      <c r="F415">
        <v>453.95</v>
      </c>
      <c r="G415">
        <v>57.78</v>
      </c>
    </row>
    <row r="416" spans="1:7" x14ac:dyDescent="0.35">
      <c r="A416" t="s">
        <v>782</v>
      </c>
      <c r="B416" s="1" t="s">
        <v>783</v>
      </c>
      <c r="C416" s="2">
        <f t="shared" si="6"/>
        <v>43008</v>
      </c>
      <c r="D416" t="s">
        <v>16</v>
      </c>
      <c r="E416" t="s">
        <v>13</v>
      </c>
      <c r="F416">
        <v>2385.5700000000002</v>
      </c>
      <c r="G416">
        <v>708.56</v>
      </c>
    </row>
    <row r="417" spans="1:7" x14ac:dyDescent="0.35">
      <c r="A417" t="s">
        <v>784</v>
      </c>
      <c r="B417" s="1" t="s">
        <v>785</v>
      </c>
      <c r="C417" s="2">
        <f t="shared" si="6"/>
        <v>42916</v>
      </c>
      <c r="D417" t="s">
        <v>8</v>
      </c>
      <c r="E417" t="s">
        <v>25</v>
      </c>
      <c r="F417">
        <v>1919.91</v>
      </c>
      <c r="G417">
        <v>380.36</v>
      </c>
    </row>
    <row r="418" spans="1:7" x14ac:dyDescent="0.35">
      <c r="A418" t="s">
        <v>786</v>
      </c>
      <c r="B418" s="1" t="s">
        <v>787</v>
      </c>
      <c r="C418" s="2">
        <f t="shared" si="6"/>
        <v>43220</v>
      </c>
      <c r="D418" t="s">
        <v>12</v>
      </c>
      <c r="E418" t="s">
        <v>25</v>
      </c>
      <c r="F418">
        <v>2108.29</v>
      </c>
      <c r="G418">
        <v>407.61</v>
      </c>
    </row>
    <row r="419" spans="1:7" x14ac:dyDescent="0.35">
      <c r="A419" t="s">
        <v>788</v>
      </c>
      <c r="B419" s="1" t="s">
        <v>433</v>
      </c>
      <c r="C419" s="2">
        <f t="shared" si="6"/>
        <v>42613</v>
      </c>
      <c r="D419" t="s">
        <v>37</v>
      </c>
      <c r="E419" t="s">
        <v>9</v>
      </c>
      <c r="F419">
        <v>2441.6</v>
      </c>
      <c r="G419">
        <v>399.86</v>
      </c>
    </row>
    <row r="420" spans="1:7" x14ac:dyDescent="0.35">
      <c r="A420" t="s">
        <v>789</v>
      </c>
      <c r="B420" s="1" t="s">
        <v>423</v>
      </c>
      <c r="C420" s="2">
        <f t="shared" si="6"/>
        <v>43251</v>
      </c>
      <c r="D420" t="s">
        <v>37</v>
      </c>
      <c r="E420" t="s">
        <v>25</v>
      </c>
      <c r="F420">
        <v>1989.53</v>
      </c>
      <c r="G420">
        <v>505.56</v>
      </c>
    </row>
    <row r="421" spans="1:7" x14ac:dyDescent="0.35">
      <c r="A421" t="s">
        <v>790</v>
      </c>
      <c r="B421" s="1" t="s">
        <v>791</v>
      </c>
      <c r="C421" s="2">
        <f t="shared" si="6"/>
        <v>43008</v>
      </c>
      <c r="D421" t="s">
        <v>8</v>
      </c>
      <c r="E421" t="s">
        <v>25</v>
      </c>
      <c r="F421">
        <v>2456.7399999999998</v>
      </c>
      <c r="G421">
        <v>379.23</v>
      </c>
    </row>
    <row r="422" spans="1:7" x14ac:dyDescent="0.35">
      <c r="A422" t="s">
        <v>792</v>
      </c>
      <c r="B422" s="1" t="s">
        <v>793</v>
      </c>
      <c r="C422" s="2">
        <f t="shared" si="6"/>
        <v>43373</v>
      </c>
      <c r="D422" t="s">
        <v>37</v>
      </c>
      <c r="E422" t="s">
        <v>13</v>
      </c>
      <c r="F422">
        <v>4332.2299999999996</v>
      </c>
      <c r="G422">
        <v>764.26</v>
      </c>
    </row>
    <row r="423" spans="1:7" x14ac:dyDescent="0.35">
      <c r="A423" t="s">
        <v>794</v>
      </c>
      <c r="B423" s="1" t="s">
        <v>322</v>
      </c>
      <c r="C423" s="2">
        <f t="shared" si="6"/>
        <v>43159</v>
      </c>
      <c r="D423" t="s">
        <v>16</v>
      </c>
      <c r="E423" t="s">
        <v>25</v>
      </c>
      <c r="F423">
        <v>2441.04</v>
      </c>
      <c r="G423">
        <v>696.55</v>
      </c>
    </row>
    <row r="424" spans="1:7" x14ac:dyDescent="0.35">
      <c r="A424" t="s">
        <v>795</v>
      </c>
      <c r="B424" s="1" t="s">
        <v>796</v>
      </c>
      <c r="C424" s="2">
        <f t="shared" si="6"/>
        <v>42916</v>
      </c>
      <c r="D424" t="s">
        <v>37</v>
      </c>
      <c r="E424" t="s">
        <v>25</v>
      </c>
      <c r="F424">
        <v>266.45</v>
      </c>
      <c r="G424">
        <v>75.540000000000006</v>
      </c>
    </row>
    <row r="425" spans="1:7" x14ac:dyDescent="0.35">
      <c r="A425" t="s">
        <v>797</v>
      </c>
      <c r="B425" s="1" t="s">
        <v>602</v>
      </c>
      <c r="C425" s="2">
        <f t="shared" si="6"/>
        <v>42794</v>
      </c>
      <c r="D425" t="s">
        <v>37</v>
      </c>
      <c r="E425" t="s">
        <v>9</v>
      </c>
      <c r="F425">
        <v>1066.54</v>
      </c>
      <c r="G425">
        <v>188.28</v>
      </c>
    </row>
    <row r="426" spans="1:7" x14ac:dyDescent="0.35">
      <c r="A426" t="s">
        <v>798</v>
      </c>
      <c r="B426" s="1" t="s">
        <v>799</v>
      </c>
      <c r="C426" s="2">
        <f t="shared" si="6"/>
        <v>43039</v>
      </c>
      <c r="D426" t="s">
        <v>12</v>
      </c>
      <c r="E426" t="s">
        <v>9</v>
      </c>
      <c r="F426">
        <v>131.61000000000001</v>
      </c>
      <c r="G426">
        <v>29.38</v>
      </c>
    </row>
    <row r="427" spans="1:7" x14ac:dyDescent="0.35">
      <c r="A427" t="s">
        <v>800</v>
      </c>
      <c r="B427" s="1" t="s">
        <v>801</v>
      </c>
      <c r="C427" s="2">
        <f t="shared" si="6"/>
        <v>43343</v>
      </c>
      <c r="D427" t="s">
        <v>8</v>
      </c>
      <c r="E427" t="s">
        <v>9</v>
      </c>
      <c r="F427">
        <v>587.19000000000005</v>
      </c>
      <c r="G427">
        <v>105.67</v>
      </c>
    </row>
    <row r="428" spans="1:7" x14ac:dyDescent="0.35">
      <c r="A428" t="s">
        <v>802</v>
      </c>
      <c r="B428" s="1" t="s">
        <v>803</v>
      </c>
      <c r="C428" s="2">
        <f t="shared" si="6"/>
        <v>43008</v>
      </c>
      <c r="D428" t="s">
        <v>8</v>
      </c>
      <c r="E428" t="s">
        <v>9</v>
      </c>
      <c r="F428">
        <v>2050.9699999999998</v>
      </c>
      <c r="G428">
        <v>202.71</v>
      </c>
    </row>
    <row r="429" spans="1:7" x14ac:dyDescent="0.35">
      <c r="A429" t="s">
        <v>804</v>
      </c>
      <c r="B429" s="1" t="s">
        <v>805</v>
      </c>
      <c r="C429" s="2">
        <f t="shared" si="6"/>
        <v>42704</v>
      </c>
      <c r="D429" t="s">
        <v>16</v>
      </c>
      <c r="E429" t="s">
        <v>9</v>
      </c>
      <c r="F429">
        <v>1304.33</v>
      </c>
      <c r="G429">
        <v>164.42</v>
      </c>
    </row>
    <row r="430" spans="1:7" x14ac:dyDescent="0.35">
      <c r="A430" t="s">
        <v>806</v>
      </c>
      <c r="B430" s="1" t="s">
        <v>547</v>
      </c>
      <c r="C430" s="2">
        <f t="shared" si="6"/>
        <v>42643</v>
      </c>
      <c r="D430" t="s">
        <v>37</v>
      </c>
      <c r="E430" t="s">
        <v>9</v>
      </c>
      <c r="F430">
        <v>2312.52</v>
      </c>
      <c r="G430">
        <v>535.09</v>
      </c>
    </row>
    <row r="431" spans="1:7" x14ac:dyDescent="0.35">
      <c r="A431" t="s">
        <v>807</v>
      </c>
      <c r="B431" s="1" t="s">
        <v>210</v>
      </c>
      <c r="C431" s="2">
        <f t="shared" si="6"/>
        <v>43190</v>
      </c>
      <c r="D431" t="s">
        <v>12</v>
      </c>
      <c r="E431" t="s">
        <v>9</v>
      </c>
      <c r="F431">
        <v>765.11</v>
      </c>
      <c r="G431">
        <v>53.05</v>
      </c>
    </row>
    <row r="432" spans="1:7" x14ac:dyDescent="0.35">
      <c r="A432" t="s">
        <v>808</v>
      </c>
      <c r="B432" s="1" t="s">
        <v>809</v>
      </c>
      <c r="C432" s="2">
        <f t="shared" si="6"/>
        <v>42674</v>
      </c>
      <c r="D432" t="s">
        <v>12</v>
      </c>
      <c r="E432" t="s">
        <v>25</v>
      </c>
      <c r="F432">
        <v>1269.96</v>
      </c>
      <c r="G432">
        <v>158.56</v>
      </c>
    </row>
    <row r="433" spans="1:7" x14ac:dyDescent="0.35">
      <c r="A433" t="s">
        <v>810</v>
      </c>
      <c r="B433" s="1" t="s">
        <v>236</v>
      </c>
      <c r="C433" s="2">
        <f t="shared" si="6"/>
        <v>43100</v>
      </c>
      <c r="D433" t="s">
        <v>37</v>
      </c>
      <c r="E433" t="s">
        <v>25</v>
      </c>
      <c r="F433">
        <v>1742.23</v>
      </c>
      <c r="G433">
        <v>115.15</v>
      </c>
    </row>
    <row r="434" spans="1:7" x14ac:dyDescent="0.35">
      <c r="A434" t="s">
        <v>811</v>
      </c>
      <c r="B434" s="1" t="s">
        <v>812</v>
      </c>
      <c r="C434" s="2">
        <f t="shared" si="6"/>
        <v>42855</v>
      </c>
      <c r="D434" t="s">
        <v>37</v>
      </c>
      <c r="E434" t="s">
        <v>9</v>
      </c>
      <c r="F434">
        <v>4882.58</v>
      </c>
      <c r="G434">
        <v>1355.78</v>
      </c>
    </row>
    <row r="435" spans="1:7" x14ac:dyDescent="0.35">
      <c r="A435" t="s">
        <v>813</v>
      </c>
      <c r="B435" s="1" t="s">
        <v>814</v>
      </c>
      <c r="C435" s="2">
        <f t="shared" si="6"/>
        <v>42886</v>
      </c>
      <c r="D435" t="s">
        <v>16</v>
      </c>
      <c r="E435" t="s">
        <v>9</v>
      </c>
      <c r="F435">
        <v>4570.17</v>
      </c>
      <c r="G435">
        <v>654.53</v>
      </c>
    </row>
    <row r="436" spans="1:7" x14ac:dyDescent="0.35">
      <c r="A436" t="s">
        <v>815</v>
      </c>
      <c r="B436" s="1" t="s">
        <v>816</v>
      </c>
      <c r="C436" s="2">
        <f t="shared" si="6"/>
        <v>42521</v>
      </c>
      <c r="D436" t="s">
        <v>16</v>
      </c>
      <c r="E436" t="s">
        <v>13</v>
      </c>
      <c r="F436">
        <v>3440.15</v>
      </c>
      <c r="G436">
        <v>727.18</v>
      </c>
    </row>
    <row r="437" spans="1:7" x14ac:dyDescent="0.35">
      <c r="A437" t="s">
        <v>817</v>
      </c>
      <c r="B437" s="1" t="s">
        <v>818</v>
      </c>
      <c r="C437" s="2">
        <f t="shared" si="6"/>
        <v>43159</v>
      </c>
      <c r="D437" t="s">
        <v>16</v>
      </c>
      <c r="E437" t="s">
        <v>9</v>
      </c>
      <c r="F437">
        <v>3177.77</v>
      </c>
      <c r="G437">
        <v>161.62</v>
      </c>
    </row>
    <row r="438" spans="1:7" x14ac:dyDescent="0.35">
      <c r="A438" t="s">
        <v>819</v>
      </c>
      <c r="B438" s="1" t="s">
        <v>351</v>
      </c>
      <c r="C438" s="2">
        <f t="shared" si="6"/>
        <v>42460</v>
      </c>
      <c r="D438" t="s">
        <v>8</v>
      </c>
      <c r="E438" t="s">
        <v>9</v>
      </c>
      <c r="F438">
        <v>2282.1</v>
      </c>
      <c r="G438">
        <v>625.62</v>
      </c>
    </row>
    <row r="439" spans="1:7" x14ac:dyDescent="0.35">
      <c r="A439" t="s">
        <v>820</v>
      </c>
      <c r="B439" s="1" t="s">
        <v>547</v>
      </c>
      <c r="C439" s="2">
        <f t="shared" si="6"/>
        <v>42643</v>
      </c>
      <c r="D439" t="s">
        <v>12</v>
      </c>
      <c r="E439" t="s">
        <v>9</v>
      </c>
      <c r="F439">
        <v>4750.16</v>
      </c>
      <c r="G439">
        <v>1407.48</v>
      </c>
    </row>
    <row r="440" spans="1:7" x14ac:dyDescent="0.35">
      <c r="A440" t="s">
        <v>821</v>
      </c>
      <c r="B440" s="1" t="s">
        <v>822</v>
      </c>
      <c r="C440" s="2">
        <f t="shared" si="6"/>
        <v>43039</v>
      </c>
      <c r="D440" t="s">
        <v>8</v>
      </c>
      <c r="E440" t="s">
        <v>13</v>
      </c>
      <c r="F440">
        <v>3423.98</v>
      </c>
      <c r="G440">
        <v>402.2</v>
      </c>
    </row>
    <row r="441" spans="1:7" x14ac:dyDescent="0.35">
      <c r="A441" t="s">
        <v>823</v>
      </c>
      <c r="B441" s="1" t="s">
        <v>824</v>
      </c>
      <c r="C441" s="2">
        <f t="shared" si="6"/>
        <v>42916</v>
      </c>
      <c r="D441" t="s">
        <v>37</v>
      </c>
      <c r="E441" t="s">
        <v>9</v>
      </c>
      <c r="F441">
        <v>1954.69</v>
      </c>
      <c r="G441">
        <v>116.11</v>
      </c>
    </row>
    <row r="442" spans="1:7" x14ac:dyDescent="0.35">
      <c r="A442" t="s">
        <v>825</v>
      </c>
      <c r="B442" s="1" t="s">
        <v>826</v>
      </c>
      <c r="C442" s="2">
        <f t="shared" si="6"/>
        <v>43008</v>
      </c>
      <c r="D442" t="s">
        <v>8</v>
      </c>
      <c r="E442" t="s">
        <v>13</v>
      </c>
      <c r="F442">
        <v>4688.01</v>
      </c>
      <c r="G442">
        <v>392.73</v>
      </c>
    </row>
    <row r="443" spans="1:7" x14ac:dyDescent="0.35">
      <c r="A443" t="s">
        <v>827</v>
      </c>
      <c r="B443" s="1" t="s">
        <v>828</v>
      </c>
      <c r="C443" s="2">
        <f t="shared" si="6"/>
        <v>43281</v>
      </c>
      <c r="D443" t="s">
        <v>16</v>
      </c>
      <c r="E443" t="s">
        <v>25</v>
      </c>
      <c r="F443">
        <v>3587.86</v>
      </c>
      <c r="G443">
        <v>604.96</v>
      </c>
    </row>
    <row r="444" spans="1:7" x14ac:dyDescent="0.35">
      <c r="A444" t="s">
        <v>829</v>
      </c>
      <c r="B444" s="1" t="s">
        <v>67</v>
      </c>
      <c r="C444" s="2">
        <f t="shared" si="6"/>
        <v>42766</v>
      </c>
      <c r="D444" t="s">
        <v>16</v>
      </c>
      <c r="E444" t="s">
        <v>25</v>
      </c>
      <c r="F444">
        <v>2603.46</v>
      </c>
      <c r="G444">
        <v>428.07</v>
      </c>
    </row>
    <row r="445" spans="1:7" x14ac:dyDescent="0.35">
      <c r="A445" t="s">
        <v>830</v>
      </c>
      <c r="B445" s="1" t="s">
        <v>831</v>
      </c>
      <c r="C445" s="2">
        <f t="shared" si="6"/>
        <v>42400</v>
      </c>
      <c r="D445" t="s">
        <v>8</v>
      </c>
      <c r="E445" t="s">
        <v>9</v>
      </c>
      <c r="F445">
        <v>2904.95</v>
      </c>
      <c r="G445">
        <v>421.74</v>
      </c>
    </row>
    <row r="446" spans="1:7" x14ac:dyDescent="0.35">
      <c r="A446" t="s">
        <v>832</v>
      </c>
      <c r="B446" s="1" t="s">
        <v>833</v>
      </c>
      <c r="C446" s="2">
        <f t="shared" si="6"/>
        <v>43312</v>
      </c>
      <c r="D446" t="s">
        <v>8</v>
      </c>
      <c r="E446" t="s">
        <v>9</v>
      </c>
      <c r="F446">
        <v>3645.03</v>
      </c>
      <c r="G446">
        <v>512.51</v>
      </c>
    </row>
    <row r="447" spans="1:7" x14ac:dyDescent="0.35">
      <c r="A447" t="s">
        <v>834</v>
      </c>
      <c r="B447" s="1" t="s">
        <v>835</v>
      </c>
      <c r="C447" s="2">
        <f t="shared" si="6"/>
        <v>43281</v>
      </c>
      <c r="D447" t="s">
        <v>37</v>
      </c>
      <c r="E447" t="s">
        <v>13</v>
      </c>
      <c r="F447">
        <v>2076.41</v>
      </c>
      <c r="G447">
        <v>398.72</v>
      </c>
    </row>
    <row r="448" spans="1:7" x14ac:dyDescent="0.35">
      <c r="A448" t="s">
        <v>836</v>
      </c>
      <c r="B448" s="1" t="s">
        <v>381</v>
      </c>
      <c r="C448" s="2">
        <f t="shared" si="6"/>
        <v>42916</v>
      </c>
      <c r="D448" t="s">
        <v>37</v>
      </c>
      <c r="E448" t="s">
        <v>25</v>
      </c>
      <c r="F448">
        <v>1434.83</v>
      </c>
      <c r="G448">
        <v>359.38</v>
      </c>
    </row>
    <row r="449" spans="1:7" x14ac:dyDescent="0.35">
      <c r="A449" t="s">
        <v>837</v>
      </c>
      <c r="B449" s="1" t="s">
        <v>265</v>
      </c>
      <c r="C449" s="2">
        <f t="shared" si="6"/>
        <v>43190</v>
      </c>
      <c r="D449" t="s">
        <v>16</v>
      </c>
      <c r="E449" t="s">
        <v>13</v>
      </c>
      <c r="F449">
        <v>1358.75</v>
      </c>
      <c r="G449">
        <v>285.2</v>
      </c>
    </row>
    <row r="450" spans="1:7" x14ac:dyDescent="0.35">
      <c r="A450" t="s">
        <v>838</v>
      </c>
      <c r="B450" s="1" t="s">
        <v>839</v>
      </c>
      <c r="C450" s="2">
        <f t="shared" si="6"/>
        <v>43312</v>
      </c>
      <c r="D450" t="s">
        <v>16</v>
      </c>
      <c r="E450" t="s">
        <v>13</v>
      </c>
      <c r="F450">
        <v>2355.96</v>
      </c>
      <c r="G450">
        <v>506.59</v>
      </c>
    </row>
    <row r="451" spans="1:7" x14ac:dyDescent="0.35">
      <c r="A451" t="s">
        <v>840</v>
      </c>
      <c r="B451" s="1" t="s">
        <v>841</v>
      </c>
      <c r="C451" s="2">
        <f t="shared" ref="C451:C514" si="7">EOMONTH(B451,0)</f>
        <v>42825</v>
      </c>
      <c r="D451" t="s">
        <v>37</v>
      </c>
      <c r="E451" t="s">
        <v>25</v>
      </c>
      <c r="F451">
        <v>1338.84</v>
      </c>
      <c r="G451">
        <v>196.5</v>
      </c>
    </row>
    <row r="452" spans="1:7" x14ac:dyDescent="0.35">
      <c r="A452" t="s">
        <v>842</v>
      </c>
      <c r="B452" s="1" t="s">
        <v>843</v>
      </c>
      <c r="C452" s="2">
        <f t="shared" si="7"/>
        <v>42855</v>
      </c>
      <c r="D452" t="s">
        <v>12</v>
      </c>
      <c r="E452" t="s">
        <v>13</v>
      </c>
      <c r="F452">
        <v>4376.8599999999997</v>
      </c>
      <c r="G452">
        <v>666.24</v>
      </c>
    </row>
    <row r="453" spans="1:7" x14ac:dyDescent="0.35">
      <c r="A453" t="s">
        <v>844</v>
      </c>
      <c r="B453" s="1" t="s">
        <v>845</v>
      </c>
      <c r="C453" s="2">
        <f t="shared" si="7"/>
        <v>42613</v>
      </c>
      <c r="D453" t="s">
        <v>8</v>
      </c>
      <c r="E453" t="s">
        <v>9</v>
      </c>
      <c r="F453">
        <v>4348.13</v>
      </c>
      <c r="G453">
        <v>664.63</v>
      </c>
    </row>
    <row r="454" spans="1:7" x14ac:dyDescent="0.35">
      <c r="A454" t="s">
        <v>846</v>
      </c>
      <c r="B454" s="1" t="s">
        <v>847</v>
      </c>
      <c r="C454" s="2">
        <f t="shared" si="7"/>
        <v>42582</v>
      </c>
      <c r="D454" t="s">
        <v>16</v>
      </c>
      <c r="E454" t="s">
        <v>9</v>
      </c>
      <c r="F454">
        <v>2379.0100000000002</v>
      </c>
      <c r="G454">
        <v>164.48</v>
      </c>
    </row>
    <row r="455" spans="1:7" x14ac:dyDescent="0.35">
      <c r="A455" t="s">
        <v>848</v>
      </c>
      <c r="B455" s="1" t="s">
        <v>849</v>
      </c>
      <c r="C455" s="2">
        <f t="shared" si="7"/>
        <v>42735</v>
      </c>
      <c r="D455" t="s">
        <v>37</v>
      </c>
      <c r="E455" t="s">
        <v>9</v>
      </c>
      <c r="F455">
        <v>3242.25</v>
      </c>
      <c r="G455">
        <v>292.70999999999998</v>
      </c>
    </row>
    <row r="456" spans="1:7" x14ac:dyDescent="0.35">
      <c r="A456" t="s">
        <v>850</v>
      </c>
      <c r="B456" s="1" t="s">
        <v>851</v>
      </c>
      <c r="C456" s="2">
        <f t="shared" si="7"/>
        <v>42886</v>
      </c>
      <c r="D456" t="s">
        <v>8</v>
      </c>
      <c r="E456" t="s">
        <v>13</v>
      </c>
      <c r="F456">
        <v>1936.33</v>
      </c>
      <c r="G456">
        <v>322.06</v>
      </c>
    </row>
    <row r="457" spans="1:7" x14ac:dyDescent="0.35">
      <c r="A457" t="s">
        <v>852</v>
      </c>
      <c r="B457" s="1" t="s">
        <v>828</v>
      </c>
      <c r="C457" s="2">
        <f t="shared" si="7"/>
        <v>43281</v>
      </c>
      <c r="D457" t="s">
        <v>37</v>
      </c>
      <c r="E457" t="s">
        <v>25</v>
      </c>
      <c r="F457">
        <v>4123.72</v>
      </c>
      <c r="G457">
        <v>301.87</v>
      </c>
    </row>
    <row r="458" spans="1:7" x14ac:dyDescent="0.35">
      <c r="A458" t="s">
        <v>853</v>
      </c>
      <c r="B458" s="1" t="s">
        <v>648</v>
      </c>
      <c r="C458" s="2">
        <f t="shared" si="7"/>
        <v>42947</v>
      </c>
      <c r="D458" t="s">
        <v>12</v>
      </c>
      <c r="E458" t="s">
        <v>9</v>
      </c>
      <c r="F458">
        <v>2726.32</v>
      </c>
      <c r="G458">
        <v>554.78</v>
      </c>
    </row>
    <row r="459" spans="1:7" x14ac:dyDescent="0.35">
      <c r="A459" t="s">
        <v>854</v>
      </c>
      <c r="B459" s="1" t="s">
        <v>153</v>
      </c>
      <c r="C459" s="2">
        <f t="shared" si="7"/>
        <v>42825</v>
      </c>
      <c r="D459" t="s">
        <v>16</v>
      </c>
      <c r="E459" t="s">
        <v>25</v>
      </c>
      <c r="F459">
        <v>3920.97</v>
      </c>
      <c r="G459">
        <v>375.46</v>
      </c>
    </row>
    <row r="460" spans="1:7" x14ac:dyDescent="0.35">
      <c r="A460" t="s">
        <v>855</v>
      </c>
      <c r="B460" s="1" t="s">
        <v>856</v>
      </c>
      <c r="C460" s="2">
        <f t="shared" si="7"/>
        <v>43159</v>
      </c>
      <c r="D460" t="s">
        <v>8</v>
      </c>
      <c r="E460" t="s">
        <v>13</v>
      </c>
      <c r="F460">
        <v>2718.97</v>
      </c>
      <c r="G460">
        <v>792.27</v>
      </c>
    </row>
    <row r="461" spans="1:7" x14ac:dyDescent="0.35">
      <c r="A461" t="s">
        <v>857</v>
      </c>
      <c r="B461" s="1" t="s">
        <v>858</v>
      </c>
      <c r="C461" s="2">
        <f t="shared" si="7"/>
        <v>42490</v>
      </c>
      <c r="D461" t="s">
        <v>8</v>
      </c>
      <c r="E461" t="s">
        <v>13</v>
      </c>
      <c r="F461">
        <v>3202.28</v>
      </c>
      <c r="G461">
        <v>925.14</v>
      </c>
    </row>
    <row r="462" spans="1:7" x14ac:dyDescent="0.35">
      <c r="A462" t="s">
        <v>859</v>
      </c>
      <c r="B462" s="1" t="s">
        <v>353</v>
      </c>
      <c r="C462" s="2">
        <f t="shared" si="7"/>
        <v>42855</v>
      </c>
      <c r="D462" t="s">
        <v>12</v>
      </c>
      <c r="E462" t="s">
        <v>13</v>
      </c>
      <c r="F462">
        <v>4237.26</v>
      </c>
      <c r="G462">
        <v>631.27</v>
      </c>
    </row>
    <row r="463" spans="1:7" x14ac:dyDescent="0.35">
      <c r="A463" t="s">
        <v>860</v>
      </c>
      <c r="B463" s="1" t="s">
        <v>861</v>
      </c>
      <c r="C463" s="2">
        <f t="shared" si="7"/>
        <v>42521</v>
      </c>
      <c r="D463" t="s">
        <v>8</v>
      </c>
      <c r="E463" t="s">
        <v>9</v>
      </c>
      <c r="F463">
        <v>281.3</v>
      </c>
      <c r="G463">
        <v>35.68</v>
      </c>
    </row>
    <row r="464" spans="1:7" x14ac:dyDescent="0.35">
      <c r="A464" t="s">
        <v>862</v>
      </c>
      <c r="B464" s="1" t="s">
        <v>863</v>
      </c>
      <c r="C464" s="2">
        <f t="shared" si="7"/>
        <v>42886</v>
      </c>
      <c r="D464" t="s">
        <v>37</v>
      </c>
      <c r="E464" t="s">
        <v>13</v>
      </c>
      <c r="F464">
        <v>2243.4499999999998</v>
      </c>
      <c r="G464">
        <v>200.1</v>
      </c>
    </row>
    <row r="465" spans="1:7" x14ac:dyDescent="0.35">
      <c r="A465" t="s">
        <v>864</v>
      </c>
      <c r="B465" s="1" t="s">
        <v>760</v>
      </c>
      <c r="C465" s="2">
        <f t="shared" si="7"/>
        <v>42947</v>
      </c>
      <c r="D465" t="s">
        <v>12</v>
      </c>
      <c r="E465" t="s">
        <v>13</v>
      </c>
      <c r="F465">
        <v>4849.28</v>
      </c>
      <c r="G465">
        <v>616.12</v>
      </c>
    </row>
    <row r="466" spans="1:7" x14ac:dyDescent="0.35">
      <c r="A466" t="s">
        <v>865</v>
      </c>
      <c r="B466" s="1" t="s">
        <v>866</v>
      </c>
      <c r="C466" s="2">
        <f t="shared" si="7"/>
        <v>42490</v>
      </c>
      <c r="D466" t="s">
        <v>8</v>
      </c>
      <c r="E466" t="s">
        <v>9</v>
      </c>
      <c r="F466">
        <v>398.43</v>
      </c>
      <c r="G466">
        <v>73.97</v>
      </c>
    </row>
    <row r="467" spans="1:7" x14ac:dyDescent="0.35">
      <c r="A467" t="s">
        <v>867</v>
      </c>
      <c r="B467" s="1" t="s">
        <v>868</v>
      </c>
      <c r="C467" s="2">
        <f t="shared" si="7"/>
        <v>42766</v>
      </c>
      <c r="D467" t="s">
        <v>8</v>
      </c>
      <c r="E467" t="s">
        <v>13</v>
      </c>
      <c r="F467">
        <v>1573.09</v>
      </c>
      <c r="G467">
        <v>182.94</v>
      </c>
    </row>
    <row r="468" spans="1:7" x14ac:dyDescent="0.35">
      <c r="A468" t="s">
        <v>869</v>
      </c>
      <c r="B468" s="1" t="s">
        <v>870</v>
      </c>
      <c r="C468" s="2">
        <f t="shared" si="7"/>
        <v>42916</v>
      </c>
      <c r="D468" t="s">
        <v>8</v>
      </c>
      <c r="E468" t="s">
        <v>9</v>
      </c>
      <c r="F468">
        <v>2171.36</v>
      </c>
      <c r="G468">
        <v>517.73</v>
      </c>
    </row>
    <row r="469" spans="1:7" x14ac:dyDescent="0.35">
      <c r="A469" t="s">
        <v>871</v>
      </c>
      <c r="B469" s="1" t="s">
        <v>872</v>
      </c>
      <c r="C469" s="2">
        <f t="shared" si="7"/>
        <v>42704</v>
      </c>
      <c r="D469" t="s">
        <v>16</v>
      </c>
      <c r="E469" t="s">
        <v>25</v>
      </c>
      <c r="F469">
        <v>4226.88</v>
      </c>
      <c r="G469">
        <v>485.05</v>
      </c>
    </row>
    <row r="470" spans="1:7" x14ac:dyDescent="0.35">
      <c r="A470" t="s">
        <v>873</v>
      </c>
      <c r="B470" s="1" t="s">
        <v>874</v>
      </c>
      <c r="C470" s="2">
        <f t="shared" si="7"/>
        <v>43069</v>
      </c>
      <c r="D470" t="s">
        <v>12</v>
      </c>
      <c r="E470" t="s">
        <v>9</v>
      </c>
      <c r="F470">
        <v>4669.24</v>
      </c>
      <c r="G470">
        <v>787.82</v>
      </c>
    </row>
    <row r="471" spans="1:7" x14ac:dyDescent="0.35">
      <c r="A471" t="s">
        <v>875</v>
      </c>
      <c r="B471" s="1" t="s">
        <v>555</v>
      </c>
      <c r="C471" s="2">
        <f t="shared" si="7"/>
        <v>42613</v>
      </c>
      <c r="D471" t="s">
        <v>37</v>
      </c>
      <c r="E471" t="s">
        <v>25</v>
      </c>
      <c r="F471">
        <v>3294.67</v>
      </c>
      <c r="G471">
        <v>437.4</v>
      </c>
    </row>
    <row r="472" spans="1:7" x14ac:dyDescent="0.35">
      <c r="A472" t="s">
        <v>876</v>
      </c>
      <c r="B472" s="1" t="s">
        <v>877</v>
      </c>
      <c r="C472" s="2">
        <f t="shared" si="7"/>
        <v>42916</v>
      </c>
      <c r="D472" t="s">
        <v>8</v>
      </c>
      <c r="E472" t="s">
        <v>13</v>
      </c>
      <c r="F472">
        <v>3287.27</v>
      </c>
      <c r="G472">
        <v>803.24</v>
      </c>
    </row>
    <row r="473" spans="1:7" x14ac:dyDescent="0.35">
      <c r="A473" t="s">
        <v>878</v>
      </c>
      <c r="B473" s="1" t="s">
        <v>879</v>
      </c>
      <c r="C473" s="2">
        <f t="shared" si="7"/>
        <v>42429</v>
      </c>
      <c r="D473" t="s">
        <v>8</v>
      </c>
      <c r="E473" t="s">
        <v>25</v>
      </c>
      <c r="F473">
        <v>2156.5500000000002</v>
      </c>
      <c r="G473">
        <v>276.36</v>
      </c>
    </row>
    <row r="474" spans="1:7" x14ac:dyDescent="0.35">
      <c r="A474" t="s">
        <v>880</v>
      </c>
      <c r="B474" s="1" t="s">
        <v>881</v>
      </c>
      <c r="C474" s="2">
        <f t="shared" si="7"/>
        <v>42916</v>
      </c>
      <c r="D474" t="s">
        <v>16</v>
      </c>
      <c r="E474" t="s">
        <v>9</v>
      </c>
      <c r="F474">
        <v>4141.2700000000004</v>
      </c>
      <c r="G474">
        <v>1210.97</v>
      </c>
    </row>
    <row r="475" spans="1:7" x14ac:dyDescent="0.35">
      <c r="A475" t="s">
        <v>882</v>
      </c>
      <c r="B475" s="1" t="s">
        <v>883</v>
      </c>
      <c r="C475" s="2">
        <f t="shared" si="7"/>
        <v>42704</v>
      </c>
      <c r="D475" t="s">
        <v>37</v>
      </c>
      <c r="E475" t="s">
        <v>9</v>
      </c>
      <c r="F475">
        <v>3377.45</v>
      </c>
      <c r="G475">
        <v>923.99</v>
      </c>
    </row>
    <row r="476" spans="1:7" x14ac:dyDescent="0.35">
      <c r="A476" t="s">
        <v>884</v>
      </c>
      <c r="B476" s="1" t="s">
        <v>71</v>
      </c>
      <c r="C476" s="2">
        <f t="shared" si="7"/>
        <v>42582</v>
      </c>
      <c r="D476" t="s">
        <v>37</v>
      </c>
      <c r="E476" t="s">
        <v>9</v>
      </c>
      <c r="F476">
        <v>4925.62</v>
      </c>
      <c r="G476">
        <v>1057.3399999999999</v>
      </c>
    </row>
    <row r="477" spans="1:7" x14ac:dyDescent="0.35">
      <c r="A477" t="s">
        <v>885</v>
      </c>
      <c r="B477" s="1" t="s">
        <v>582</v>
      </c>
      <c r="C477" s="2">
        <f t="shared" si="7"/>
        <v>42704</v>
      </c>
      <c r="D477" t="s">
        <v>37</v>
      </c>
      <c r="E477" t="s">
        <v>13</v>
      </c>
      <c r="F477">
        <v>3587.1</v>
      </c>
      <c r="G477">
        <v>370.52</v>
      </c>
    </row>
    <row r="478" spans="1:7" x14ac:dyDescent="0.35">
      <c r="A478" t="s">
        <v>886</v>
      </c>
      <c r="B478" s="1" t="s">
        <v>887</v>
      </c>
      <c r="C478" s="2">
        <f t="shared" si="7"/>
        <v>42825</v>
      </c>
      <c r="D478" t="s">
        <v>37</v>
      </c>
      <c r="E478" t="s">
        <v>25</v>
      </c>
      <c r="F478">
        <v>1509.86</v>
      </c>
      <c r="G478">
        <v>436.91</v>
      </c>
    </row>
    <row r="479" spans="1:7" x14ac:dyDescent="0.35">
      <c r="A479" t="s">
        <v>888</v>
      </c>
      <c r="B479" s="1" t="s">
        <v>193</v>
      </c>
      <c r="C479" s="2">
        <f t="shared" si="7"/>
        <v>43281</v>
      </c>
      <c r="D479" t="s">
        <v>37</v>
      </c>
      <c r="E479" t="s">
        <v>13</v>
      </c>
      <c r="F479">
        <v>2370.29</v>
      </c>
      <c r="G479">
        <v>224.61</v>
      </c>
    </row>
    <row r="480" spans="1:7" x14ac:dyDescent="0.35">
      <c r="A480" t="s">
        <v>889</v>
      </c>
      <c r="B480" s="1" t="s">
        <v>476</v>
      </c>
      <c r="C480" s="2">
        <f t="shared" si="7"/>
        <v>43220</v>
      </c>
      <c r="D480" t="s">
        <v>37</v>
      </c>
      <c r="E480" t="s">
        <v>13</v>
      </c>
      <c r="F480">
        <v>4689.5200000000004</v>
      </c>
      <c r="G480">
        <v>1401.73</v>
      </c>
    </row>
    <row r="481" spans="1:7" x14ac:dyDescent="0.35">
      <c r="A481" t="s">
        <v>890</v>
      </c>
      <c r="B481" s="1" t="s">
        <v>206</v>
      </c>
      <c r="C481" s="2">
        <f t="shared" si="7"/>
        <v>43312</v>
      </c>
      <c r="D481" t="s">
        <v>12</v>
      </c>
      <c r="E481" t="s">
        <v>13</v>
      </c>
      <c r="F481">
        <v>4313.6499999999996</v>
      </c>
      <c r="G481">
        <v>686.02</v>
      </c>
    </row>
    <row r="482" spans="1:7" x14ac:dyDescent="0.35">
      <c r="A482" t="s">
        <v>891</v>
      </c>
      <c r="B482" s="1" t="s">
        <v>892</v>
      </c>
      <c r="C482" s="2">
        <f t="shared" si="7"/>
        <v>43159</v>
      </c>
      <c r="D482" t="s">
        <v>12</v>
      </c>
      <c r="E482" t="s">
        <v>9</v>
      </c>
      <c r="F482">
        <v>736.86</v>
      </c>
      <c r="G482">
        <v>114.66</v>
      </c>
    </row>
    <row r="483" spans="1:7" x14ac:dyDescent="0.35">
      <c r="A483" t="s">
        <v>893</v>
      </c>
      <c r="B483" s="1" t="s">
        <v>684</v>
      </c>
      <c r="C483" s="2">
        <f t="shared" si="7"/>
        <v>43159</v>
      </c>
      <c r="D483" t="s">
        <v>12</v>
      </c>
      <c r="E483" t="s">
        <v>25</v>
      </c>
      <c r="F483">
        <v>4738.66</v>
      </c>
      <c r="G483">
        <v>1020.97</v>
      </c>
    </row>
    <row r="484" spans="1:7" x14ac:dyDescent="0.35">
      <c r="A484" t="s">
        <v>894</v>
      </c>
      <c r="B484" s="1" t="s">
        <v>874</v>
      </c>
      <c r="C484" s="2">
        <f t="shared" si="7"/>
        <v>43069</v>
      </c>
      <c r="D484" t="s">
        <v>8</v>
      </c>
      <c r="E484" t="s">
        <v>25</v>
      </c>
      <c r="F484">
        <v>4578.2299999999996</v>
      </c>
      <c r="G484">
        <v>260.99</v>
      </c>
    </row>
    <row r="485" spans="1:7" x14ac:dyDescent="0.35">
      <c r="A485" t="s">
        <v>895</v>
      </c>
      <c r="B485" s="1" t="s">
        <v>896</v>
      </c>
      <c r="C485" s="2">
        <f t="shared" si="7"/>
        <v>43373</v>
      </c>
      <c r="D485" t="s">
        <v>37</v>
      </c>
      <c r="E485" t="s">
        <v>13</v>
      </c>
      <c r="F485">
        <v>4773.6000000000004</v>
      </c>
      <c r="G485">
        <v>1172.67</v>
      </c>
    </row>
    <row r="486" spans="1:7" x14ac:dyDescent="0.35">
      <c r="A486" t="s">
        <v>897</v>
      </c>
      <c r="B486" s="1" t="s">
        <v>679</v>
      </c>
      <c r="C486" s="2">
        <f t="shared" si="7"/>
        <v>42429</v>
      </c>
      <c r="D486" t="s">
        <v>8</v>
      </c>
      <c r="E486" t="s">
        <v>13</v>
      </c>
      <c r="F486">
        <v>3719.63</v>
      </c>
      <c r="G486">
        <v>400.98</v>
      </c>
    </row>
    <row r="487" spans="1:7" x14ac:dyDescent="0.35">
      <c r="A487" t="s">
        <v>898</v>
      </c>
      <c r="B487" s="1" t="s">
        <v>899</v>
      </c>
      <c r="C487" s="2">
        <f t="shared" si="7"/>
        <v>42825</v>
      </c>
      <c r="D487" t="s">
        <v>37</v>
      </c>
      <c r="E487" t="s">
        <v>25</v>
      </c>
      <c r="F487">
        <v>1750.56</v>
      </c>
      <c r="G487">
        <v>438.2</v>
      </c>
    </row>
    <row r="488" spans="1:7" x14ac:dyDescent="0.35">
      <c r="A488" t="s">
        <v>900</v>
      </c>
      <c r="B488" s="1" t="s">
        <v>901</v>
      </c>
      <c r="C488" s="2">
        <f t="shared" si="7"/>
        <v>42825</v>
      </c>
      <c r="D488" t="s">
        <v>12</v>
      </c>
      <c r="E488" t="s">
        <v>9</v>
      </c>
      <c r="F488">
        <v>2395.19</v>
      </c>
      <c r="G488">
        <v>579.14</v>
      </c>
    </row>
    <row r="489" spans="1:7" x14ac:dyDescent="0.35">
      <c r="A489" t="s">
        <v>902</v>
      </c>
      <c r="B489" s="1" t="s">
        <v>334</v>
      </c>
      <c r="C489" s="2">
        <f t="shared" si="7"/>
        <v>42886</v>
      </c>
      <c r="D489" t="s">
        <v>37</v>
      </c>
      <c r="E489" t="s">
        <v>13</v>
      </c>
      <c r="F489">
        <v>1672.24</v>
      </c>
      <c r="G489">
        <v>429.71</v>
      </c>
    </row>
    <row r="490" spans="1:7" x14ac:dyDescent="0.35">
      <c r="A490" t="s">
        <v>903</v>
      </c>
      <c r="B490" s="1" t="s">
        <v>904</v>
      </c>
      <c r="C490" s="2">
        <f t="shared" si="7"/>
        <v>43100</v>
      </c>
      <c r="D490" t="s">
        <v>16</v>
      </c>
      <c r="E490" t="s">
        <v>25</v>
      </c>
      <c r="F490">
        <v>4631.34</v>
      </c>
      <c r="G490">
        <v>641.24</v>
      </c>
    </row>
    <row r="491" spans="1:7" x14ac:dyDescent="0.35">
      <c r="A491" t="s">
        <v>905</v>
      </c>
      <c r="B491" s="1" t="s">
        <v>839</v>
      </c>
      <c r="C491" s="2">
        <f t="shared" si="7"/>
        <v>43312</v>
      </c>
      <c r="D491" t="s">
        <v>12</v>
      </c>
      <c r="E491" t="s">
        <v>25</v>
      </c>
      <c r="F491">
        <v>3934.13</v>
      </c>
      <c r="G491">
        <v>1144.53</v>
      </c>
    </row>
    <row r="492" spans="1:7" x14ac:dyDescent="0.35">
      <c r="A492" t="s">
        <v>906</v>
      </c>
      <c r="B492" s="1" t="s">
        <v>907</v>
      </c>
      <c r="C492" s="2">
        <f t="shared" si="7"/>
        <v>42460</v>
      </c>
      <c r="D492" t="s">
        <v>16</v>
      </c>
      <c r="E492" t="s">
        <v>13</v>
      </c>
      <c r="F492">
        <v>2445.0500000000002</v>
      </c>
      <c r="G492">
        <v>237.06</v>
      </c>
    </row>
    <row r="493" spans="1:7" x14ac:dyDescent="0.35">
      <c r="A493" t="s">
        <v>908</v>
      </c>
      <c r="B493" s="1" t="s">
        <v>909</v>
      </c>
      <c r="C493" s="2">
        <f t="shared" si="7"/>
        <v>42766</v>
      </c>
      <c r="D493" t="s">
        <v>37</v>
      </c>
      <c r="E493" t="s">
        <v>13</v>
      </c>
      <c r="F493">
        <v>242.1</v>
      </c>
      <c r="G493">
        <v>42.73</v>
      </c>
    </row>
    <row r="494" spans="1:7" x14ac:dyDescent="0.35">
      <c r="A494" t="s">
        <v>910</v>
      </c>
      <c r="B494" s="1" t="s">
        <v>15</v>
      </c>
      <c r="C494" s="2">
        <f t="shared" si="7"/>
        <v>43251</v>
      </c>
      <c r="D494" t="s">
        <v>37</v>
      </c>
      <c r="E494" t="s">
        <v>25</v>
      </c>
      <c r="F494">
        <v>4326.7</v>
      </c>
      <c r="G494">
        <v>234.66</v>
      </c>
    </row>
    <row r="495" spans="1:7" x14ac:dyDescent="0.35">
      <c r="A495" t="s">
        <v>911</v>
      </c>
      <c r="B495" s="1" t="s">
        <v>324</v>
      </c>
      <c r="C495" s="2">
        <f t="shared" si="7"/>
        <v>42735</v>
      </c>
      <c r="D495" t="s">
        <v>12</v>
      </c>
      <c r="E495" t="s">
        <v>13</v>
      </c>
      <c r="F495">
        <v>4577.3500000000004</v>
      </c>
      <c r="G495">
        <v>1047.55</v>
      </c>
    </row>
    <row r="496" spans="1:7" x14ac:dyDescent="0.35">
      <c r="A496" t="s">
        <v>912</v>
      </c>
      <c r="B496" s="1" t="s">
        <v>913</v>
      </c>
      <c r="C496" s="2">
        <f t="shared" si="7"/>
        <v>42978</v>
      </c>
      <c r="D496" t="s">
        <v>16</v>
      </c>
      <c r="E496" t="s">
        <v>9</v>
      </c>
      <c r="F496">
        <v>3167.98</v>
      </c>
      <c r="G496">
        <v>471.12</v>
      </c>
    </row>
    <row r="497" spans="1:7" x14ac:dyDescent="0.35">
      <c r="A497" t="s">
        <v>914</v>
      </c>
      <c r="B497" s="1" t="s">
        <v>915</v>
      </c>
      <c r="C497" s="2">
        <f t="shared" si="7"/>
        <v>42643</v>
      </c>
      <c r="D497" t="s">
        <v>16</v>
      </c>
      <c r="E497" t="s">
        <v>13</v>
      </c>
      <c r="F497">
        <v>2193.87</v>
      </c>
      <c r="G497">
        <v>396.47</v>
      </c>
    </row>
    <row r="498" spans="1:7" x14ac:dyDescent="0.35">
      <c r="A498" t="s">
        <v>916</v>
      </c>
      <c r="B498" s="1" t="s">
        <v>582</v>
      </c>
      <c r="C498" s="2">
        <f t="shared" si="7"/>
        <v>42704</v>
      </c>
      <c r="D498" t="s">
        <v>37</v>
      </c>
      <c r="E498" t="s">
        <v>13</v>
      </c>
      <c r="F498">
        <v>1398.78</v>
      </c>
      <c r="G498">
        <v>315.51</v>
      </c>
    </row>
    <row r="499" spans="1:7" x14ac:dyDescent="0.35">
      <c r="A499" t="s">
        <v>917</v>
      </c>
      <c r="B499" s="1" t="s">
        <v>918</v>
      </c>
      <c r="C499" s="2">
        <f t="shared" si="7"/>
        <v>42429</v>
      </c>
      <c r="D499" t="s">
        <v>16</v>
      </c>
      <c r="E499" t="s">
        <v>25</v>
      </c>
      <c r="F499">
        <v>604.64</v>
      </c>
      <c r="G499">
        <v>113.49</v>
      </c>
    </row>
    <row r="500" spans="1:7" x14ac:dyDescent="0.35">
      <c r="A500" t="s">
        <v>919</v>
      </c>
      <c r="B500" s="1" t="s">
        <v>920</v>
      </c>
      <c r="C500" s="2">
        <f t="shared" si="7"/>
        <v>43373</v>
      </c>
      <c r="D500" t="s">
        <v>16</v>
      </c>
      <c r="E500" t="s">
        <v>13</v>
      </c>
      <c r="F500">
        <v>3727.15</v>
      </c>
      <c r="G500">
        <v>665.34</v>
      </c>
    </row>
    <row r="501" spans="1:7" x14ac:dyDescent="0.35">
      <c r="A501" t="s">
        <v>921</v>
      </c>
      <c r="B501" s="1" t="s">
        <v>419</v>
      </c>
      <c r="C501" s="2">
        <f t="shared" si="7"/>
        <v>42551</v>
      </c>
      <c r="D501" t="s">
        <v>37</v>
      </c>
      <c r="E501" t="s">
        <v>13</v>
      </c>
      <c r="F501">
        <v>4010.56</v>
      </c>
      <c r="G501">
        <v>229.41</v>
      </c>
    </row>
    <row r="502" spans="1:7" x14ac:dyDescent="0.35">
      <c r="A502" t="s">
        <v>922</v>
      </c>
      <c r="B502" s="1" t="s">
        <v>675</v>
      </c>
      <c r="C502" s="2">
        <f t="shared" si="7"/>
        <v>42794</v>
      </c>
      <c r="D502" t="s">
        <v>37</v>
      </c>
      <c r="E502" t="s">
        <v>9</v>
      </c>
      <c r="F502">
        <v>2805.38</v>
      </c>
      <c r="G502">
        <v>365.85</v>
      </c>
    </row>
    <row r="503" spans="1:7" x14ac:dyDescent="0.35">
      <c r="A503" t="s">
        <v>923</v>
      </c>
      <c r="B503" s="1" t="s">
        <v>924</v>
      </c>
      <c r="C503" s="2">
        <f t="shared" si="7"/>
        <v>43039</v>
      </c>
      <c r="D503" t="s">
        <v>12</v>
      </c>
      <c r="E503" t="s">
        <v>9</v>
      </c>
      <c r="F503">
        <v>1292.33</v>
      </c>
      <c r="G503">
        <v>155.49</v>
      </c>
    </row>
    <row r="504" spans="1:7" x14ac:dyDescent="0.35">
      <c r="A504" t="s">
        <v>925</v>
      </c>
      <c r="B504" s="1" t="s">
        <v>926</v>
      </c>
      <c r="C504" s="2">
        <f t="shared" si="7"/>
        <v>43251</v>
      </c>
      <c r="D504" t="s">
        <v>8</v>
      </c>
      <c r="E504" t="s">
        <v>13</v>
      </c>
      <c r="F504">
        <v>839.59</v>
      </c>
      <c r="G504">
        <v>216.26</v>
      </c>
    </row>
    <row r="505" spans="1:7" x14ac:dyDescent="0.35">
      <c r="A505" t="s">
        <v>927</v>
      </c>
      <c r="B505" s="1" t="s">
        <v>928</v>
      </c>
      <c r="C505" s="2">
        <f t="shared" si="7"/>
        <v>43220</v>
      </c>
      <c r="D505" t="s">
        <v>12</v>
      </c>
      <c r="E505" t="s">
        <v>9</v>
      </c>
      <c r="F505">
        <v>3233.91</v>
      </c>
      <c r="G505">
        <v>204.82</v>
      </c>
    </row>
    <row r="506" spans="1:7" x14ac:dyDescent="0.35">
      <c r="A506" t="s">
        <v>929</v>
      </c>
      <c r="B506" s="1" t="s">
        <v>930</v>
      </c>
      <c r="C506" s="2">
        <f t="shared" si="7"/>
        <v>42613</v>
      </c>
      <c r="D506" t="s">
        <v>12</v>
      </c>
      <c r="E506" t="s">
        <v>13</v>
      </c>
      <c r="F506">
        <v>2913.36</v>
      </c>
      <c r="G506">
        <v>282.27</v>
      </c>
    </row>
    <row r="507" spans="1:7" x14ac:dyDescent="0.35">
      <c r="A507" t="s">
        <v>931</v>
      </c>
      <c r="B507" s="1" t="s">
        <v>704</v>
      </c>
      <c r="C507" s="2">
        <f t="shared" si="7"/>
        <v>43373</v>
      </c>
      <c r="D507" t="s">
        <v>8</v>
      </c>
      <c r="E507" t="s">
        <v>13</v>
      </c>
      <c r="F507">
        <v>2644.71</v>
      </c>
      <c r="G507">
        <v>673.09</v>
      </c>
    </row>
    <row r="508" spans="1:7" x14ac:dyDescent="0.35">
      <c r="A508" t="s">
        <v>932</v>
      </c>
      <c r="B508" s="1" t="s">
        <v>730</v>
      </c>
      <c r="C508" s="2">
        <f t="shared" si="7"/>
        <v>42947</v>
      </c>
      <c r="D508" t="s">
        <v>16</v>
      </c>
      <c r="E508" t="s">
        <v>13</v>
      </c>
      <c r="F508">
        <v>3527.42</v>
      </c>
      <c r="G508">
        <v>892.16</v>
      </c>
    </row>
    <row r="509" spans="1:7" x14ac:dyDescent="0.35">
      <c r="A509" t="s">
        <v>933</v>
      </c>
      <c r="B509" s="1" t="s">
        <v>608</v>
      </c>
      <c r="C509" s="2">
        <f t="shared" si="7"/>
        <v>42582</v>
      </c>
      <c r="D509" t="s">
        <v>8</v>
      </c>
      <c r="E509" t="s">
        <v>13</v>
      </c>
      <c r="F509">
        <v>788.9</v>
      </c>
      <c r="G509">
        <v>136.81</v>
      </c>
    </row>
    <row r="510" spans="1:7" x14ac:dyDescent="0.35">
      <c r="A510" t="s">
        <v>934</v>
      </c>
      <c r="B510" s="1" t="s">
        <v>935</v>
      </c>
      <c r="C510" s="2">
        <f t="shared" si="7"/>
        <v>42460</v>
      </c>
      <c r="D510" t="s">
        <v>37</v>
      </c>
      <c r="E510" t="s">
        <v>9</v>
      </c>
      <c r="F510">
        <v>144</v>
      </c>
      <c r="G510">
        <v>11.38</v>
      </c>
    </row>
    <row r="511" spans="1:7" x14ac:dyDescent="0.35">
      <c r="A511" t="s">
        <v>936</v>
      </c>
      <c r="B511" s="1" t="s">
        <v>937</v>
      </c>
      <c r="C511" s="2">
        <f t="shared" si="7"/>
        <v>42947</v>
      </c>
      <c r="D511" t="s">
        <v>16</v>
      </c>
      <c r="E511" t="s">
        <v>25</v>
      </c>
      <c r="F511">
        <v>3026.67</v>
      </c>
      <c r="G511">
        <v>774.34</v>
      </c>
    </row>
    <row r="512" spans="1:7" x14ac:dyDescent="0.35">
      <c r="A512" t="s">
        <v>938</v>
      </c>
      <c r="B512" s="1" t="s">
        <v>81</v>
      </c>
      <c r="C512" s="2">
        <f t="shared" si="7"/>
        <v>42400</v>
      </c>
      <c r="D512" t="s">
        <v>37</v>
      </c>
      <c r="E512" t="s">
        <v>25</v>
      </c>
      <c r="F512">
        <v>4512.93</v>
      </c>
      <c r="G512">
        <v>521.65</v>
      </c>
    </row>
    <row r="513" spans="1:7" x14ac:dyDescent="0.35">
      <c r="A513" t="s">
        <v>939</v>
      </c>
      <c r="B513" s="1" t="s">
        <v>496</v>
      </c>
      <c r="C513" s="2">
        <f t="shared" si="7"/>
        <v>42551</v>
      </c>
      <c r="D513" t="s">
        <v>37</v>
      </c>
      <c r="E513" t="s">
        <v>9</v>
      </c>
      <c r="F513">
        <v>2771.37</v>
      </c>
      <c r="G513">
        <v>796.26</v>
      </c>
    </row>
    <row r="514" spans="1:7" x14ac:dyDescent="0.35">
      <c r="A514" t="s">
        <v>940</v>
      </c>
      <c r="B514" s="1" t="s">
        <v>941</v>
      </c>
      <c r="C514" s="2">
        <f t="shared" si="7"/>
        <v>42947</v>
      </c>
      <c r="D514" t="s">
        <v>16</v>
      </c>
      <c r="E514" t="s">
        <v>13</v>
      </c>
      <c r="F514">
        <v>3571.63</v>
      </c>
      <c r="G514">
        <v>536.22</v>
      </c>
    </row>
    <row r="515" spans="1:7" x14ac:dyDescent="0.35">
      <c r="A515" t="s">
        <v>942</v>
      </c>
      <c r="B515" s="1" t="s">
        <v>943</v>
      </c>
      <c r="C515" s="2">
        <f t="shared" ref="C515:C578" si="8">EOMONTH(B515,0)</f>
        <v>42429</v>
      </c>
      <c r="D515" t="s">
        <v>16</v>
      </c>
      <c r="E515" t="s">
        <v>9</v>
      </c>
      <c r="F515">
        <v>1046.5899999999999</v>
      </c>
      <c r="G515">
        <v>313.19</v>
      </c>
    </row>
    <row r="516" spans="1:7" x14ac:dyDescent="0.35">
      <c r="A516" t="s">
        <v>944</v>
      </c>
      <c r="B516" s="1" t="s">
        <v>945</v>
      </c>
      <c r="C516" s="2">
        <f t="shared" si="8"/>
        <v>42978</v>
      </c>
      <c r="D516" t="s">
        <v>12</v>
      </c>
      <c r="E516" t="s">
        <v>13</v>
      </c>
      <c r="F516">
        <v>645.21</v>
      </c>
      <c r="G516">
        <v>182.54</v>
      </c>
    </row>
    <row r="517" spans="1:7" x14ac:dyDescent="0.35">
      <c r="A517" t="s">
        <v>946</v>
      </c>
      <c r="B517" s="1" t="s">
        <v>947</v>
      </c>
      <c r="C517" s="2">
        <f t="shared" si="8"/>
        <v>42674</v>
      </c>
      <c r="D517" t="s">
        <v>37</v>
      </c>
      <c r="E517" t="s">
        <v>13</v>
      </c>
      <c r="F517">
        <v>516.75</v>
      </c>
      <c r="G517">
        <v>152.13999999999999</v>
      </c>
    </row>
    <row r="518" spans="1:7" x14ac:dyDescent="0.35">
      <c r="A518" t="s">
        <v>948</v>
      </c>
      <c r="B518" s="1" t="s">
        <v>949</v>
      </c>
      <c r="C518" s="2">
        <f t="shared" si="8"/>
        <v>43312</v>
      </c>
      <c r="D518" t="s">
        <v>37</v>
      </c>
      <c r="E518" t="s">
        <v>13</v>
      </c>
      <c r="F518">
        <v>3103.66</v>
      </c>
      <c r="G518">
        <v>646.05999999999995</v>
      </c>
    </row>
    <row r="519" spans="1:7" x14ac:dyDescent="0.35">
      <c r="A519" t="s">
        <v>950</v>
      </c>
      <c r="B519" s="1" t="s">
        <v>407</v>
      </c>
      <c r="C519" s="2">
        <f t="shared" si="8"/>
        <v>43251</v>
      </c>
      <c r="D519" t="s">
        <v>12</v>
      </c>
      <c r="E519" t="s">
        <v>25</v>
      </c>
      <c r="F519">
        <v>3452.67</v>
      </c>
      <c r="G519">
        <v>1030.5</v>
      </c>
    </row>
    <row r="520" spans="1:7" x14ac:dyDescent="0.35">
      <c r="A520" t="s">
        <v>951</v>
      </c>
      <c r="B520" s="1" t="s">
        <v>598</v>
      </c>
      <c r="C520" s="2">
        <f t="shared" si="8"/>
        <v>43131</v>
      </c>
      <c r="D520" t="s">
        <v>12</v>
      </c>
      <c r="E520" t="s">
        <v>13</v>
      </c>
      <c r="F520">
        <v>3024.71</v>
      </c>
      <c r="G520">
        <v>197.48</v>
      </c>
    </row>
    <row r="521" spans="1:7" x14ac:dyDescent="0.35">
      <c r="A521" t="s">
        <v>952</v>
      </c>
      <c r="B521" s="1" t="s">
        <v>677</v>
      </c>
      <c r="C521" s="2">
        <f t="shared" si="8"/>
        <v>42460</v>
      </c>
      <c r="D521" t="s">
        <v>8</v>
      </c>
      <c r="E521" t="s">
        <v>25</v>
      </c>
      <c r="F521">
        <v>3505.68</v>
      </c>
      <c r="G521">
        <v>600.41</v>
      </c>
    </row>
    <row r="522" spans="1:7" x14ac:dyDescent="0.35">
      <c r="A522" t="s">
        <v>953</v>
      </c>
      <c r="B522" s="1" t="s">
        <v>941</v>
      </c>
      <c r="C522" s="2">
        <f t="shared" si="8"/>
        <v>42947</v>
      </c>
      <c r="D522" t="s">
        <v>8</v>
      </c>
      <c r="E522" t="s">
        <v>13</v>
      </c>
      <c r="F522">
        <v>972.5</v>
      </c>
      <c r="G522">
        <v>286.42</v>
      </c>
    </row>
    <row r="523" spans="1:7" x14ac:dyDescent="0.35">
      <c r="A523" t="s">
        <v>954</v>
      </c>
      <c r="B523" s="1" t="s">
        <v>955</v>
      </c>
      <c r="C523" s="2">
        <f t="shared" si="8"/>
        <v>42735</v>
      </c>
      <c r="D523" t="s">
        <v>37</v>
      </c>
      <c r="E523" t="s">
        <v>25</v>
      </c>
      <c r="F523">
        <v>2981.88</v>
      </c>
      <c r="G523">
        <v>726.19</v>
      </c>
    </row>
    <row r="524" spans="1:7" x14ac:dyDescent="0.35">
      <c r="A524" t="s">
        <v>956</v>
      </c>
      <c r="B524" s="1" t="s">
        <v>957</v>
      </c>
      <c r="C524" s="2">
        <f t="shared" si="8"/>
        <v>42886</v>
      </c>
      <c r="D524" t="s">
        <v>16</v>
      </c>
      <c r="E524" t="s">
        <v>13</v>
      </c>
      <c r="F524">
        <v>3583.93</v>
      </c>
      <c r="G524">
        <v>346.6</v>
      </c>
    </row>
    <row r="525" spans="1:7" x14ac:dyDescent="0.35">
      <c r="A525" t="s">
        <v>958</v>
      </c>
      <c r="B525" s="1" t="s">
        <v>959</v>
      </c>
      <c r="C525" s="2">
        <f t="shared" si="8"/>
        <v>42582</v>
      </c>
      <c r="D525" t="s">
        <v>8</v>
      </c>
      <c r="E525" t="s">
        <v>25</v>
      </c>
      <c r="F525">
        <v>829.37</v>
      </c>
      <c r="G525">
        <v>187.58</v>
      </c>
    </row>
    <row r="526" spans="1:7" x14ac:dyDescent="0.35">
      <c r="A526" t="s">
        <v>960</v>
      </c>
      <c r="B526" s="1" t="s">
        <v>961</v>
      </c>
      <c r="C526" s="2">
        <f t="shared" si="8"/>
        <v>42825</v>
      </c>
      <c r="D526" t="s">
        <v>16</v>
      </c>
      <c r="E526" t="s">
        <v>13</v>
      </c>
      <c r="F526">
        <v>2324.25</v>
      </c>
      <c r="G526">
        <v>365.51</v>
      </c>
    </row>
    <row r="527" spans="1:7" x14ac:dyDescent="0.35">
      <c r="A527" t="s">
        <v>962</v>
      </c>
      <c r="B527" s="1" t="s">
        <v>872</v>
      </c>
      <c r="C527" s="2">
        <f t="shared" si="8"/>
        <v>42704</v>
      </c>
      <c r="D527" t="s">
        <v>12</v>
      </c>
      <c r="E527" t="s">
        <v>25</v>
      </c>
      <c r="F527">
        <v>4135.57</v>
      </c>
      <c r="G527">
        <v>753.93</v>
      </c>
    </row>
    <row r="528" spans="1:7" x14ac:dyDescent="0.35">
      <c r="A528" t="s">
        <v>963</v>
      </c>
      <c r="B528" s="1" t="s">
        <v>791</v>
      </c>
      <c r="C528" s="2">
        <f t="shared" si="8"/>
        <v>43008</v>
      </c>
      <c r="D528" t="s">
        <v>8</v>
      </c>
      <c r="E528" t="s">
        <v>25</v>
      </c>
      <c r="F528">
        <v>281.98</v>
      </c>
      <c r="G528">
        <v>30.93</v>
      </c>
    </row>
    <row r="529" spans="1:7" x14ac:dyDescent="0.35">
      <c r="A529" t="s">
        <v>964</v>
      </c>
      <c r="B529" s="1" t="s">
        <v>43</v>
      </c>
      <c r="C529" s="2">
        <f t="shared" si="8"/>
        <v>43220</v>
      </c>
      <c r="D529" t="s">
        <v>37</v>
      </c>
      <c r="E529" t="s">
        <v>13</v>
      </c>
      <c r="F529">
        <v>3111.99</v>
      </c>
      <c r="G529">
        <v>451.71</v>
      </c>
    </row>
    <row r="530" spans="1:7" x14ac:dyDescent="0.35">
      <c r="A530" t="s">
        <v>965</v>
      </c>
      <c r="B530" s="1" t="s">
        <v>966</v>
      </c>
      <c r="C530" s="2">
        <f t="shared" si="8"/>
        <v>42582</v>
      </c>
      <c r="D530" t="s">
        <v>16</v>
      </c>
      <c r="E530" t="s">
        <v>13</v>
      </c>
      <c r="F530">
        <v>3055.62</v>
      </c>
      <c r="G530">
        <v>498.26</v>
      </c>
    </row>
    <row r="531" spans="1:7" x14ac:dyDescent="0.35">
      <c r="A531" t="s">
        <v>967</v>
      </c>
      <c r="B531" s="1" t="s">
        <v>968</v>
      </c>
      <c r="C531" s="2">
        <f t="shared" si="8"/>
        <v>43190</v>
      </c>
      <c r="D531" t="s">
        <v>8</v>
      </c>
      <c r="E531" t="s">
        <v>9</v>
      </c>
      <c r="F531">
        <v>494.07</v>
      </c>
      <c r="G531">
        <v>61.88</v>
      </c>
    </row>
    <row r="532" spans="1:7" x14ac:dyDescent="0.35">
      <c r="A532" t="s">
        <v>969</v>
      </c>
      <c r="B532" s="1" t="s">
        <v>970</v>
      </c>
      <c r="C532" s="2">
        <f t="shared" si="8"/>
        <v>42916</v>
      </c>
      <c r="D532" t="s">
        <v>12</v>
      </c>
      <c r="E532" t="s">
        <v>13</v>
      </c>
      <c r="F532">
        <v>4355.68</v>
      </c>
      <c r="G532">
        <v>769.48</v>
      </c>
    </row>
    <row r="533" spans="1:7" x14ac:dyDescent="0.35">
      <c r="A533" t="s">
        <v>971</v>
      </c>
      <c r="B533" s="1" t="s">
        <v>238</v>
      </c>
      <c r="C533" s="2">
        <f t="shared" si="8"/>
        <v>42674</v>
      </c>
      <c r="D533" t="s">
        <v>8</v>
      </c>
      <c r="E533" t="s">
        <v>25</v>
      </c>
      <c r="F533">
        <v>2900.16</v>
      </c>
      <c r="G533">
        <v>790.59</v>
      </c>
    </row>
    <row r="534" spans="1:7" x14ac:dyDescent="0.35">
      <c r="A534" t="s">
        <v>972</v>
      </c>
      <c r="B534" s="1" t="s">
        <v>973</v>
      </c>
      <c r="C534" s="2">
        <f t="shared" si="8"/>
        <v>43039</v>
      </c>
      <c r="D534" t="s">
        <v>16</v>
      </c>
      <c r="E534" t="s">
        <v>13</v>
      </c>
      <c r="F534">
        <v>3514.57</v>
      </c>
      <c r="G534">
        <v>733.65</v>
      </c>
    </row>
    <row r="535" spans="1:7" x14ac:dyDescent="0.35">
      <c r="A535" t="s">
        <v>974</v>
      </c>
      <c r="B535" s="1" t="s">
        <v>510</v>
      </c>
      <c r="C535" s="2">
        <f t="shared" si="8"/>
        <v>42521</v>
      </c>
      <c r="D535" t="s">
        <v>12</v>
      </c>
      <c r="E535" t="s">
        <v>9</v>
      </c>
      <c r="F535">
        <v>751.18</v>
      </c>
      <c r="G535">
        <v>176.51</v>
      </c>
    </row>
    <row r="536" spans="1:7" x14ac:dyDescent="0.35">
      <c r="A536" t="s">
        <v>975</v>
      </c>
      <c r="B536" s="1" t="s">
        <v>565</v>
      </c>
      <c r="C536" s="2">
        <f t="shared" si="8"/>
        <v>42855</v>
      </c>
      <c r="D536" t="s">
        <v>8</v>
      </c>
      <c r="E536" t="s">
        <v>13</v>
      </c>
      <c r="F536">
        <v>1665.79</v>
      </c>
      <c r="G536">
        <v>276.62</v>
      </c>
    </row>
    <row r="537" spans="1:7" x14ac:dyDescent="0.35">
      <c r="A537" t="s">
        <v>976</v>
      </c>
      <c r="B537" s="1" t="s">
        <v>977</v>
      </c>
      <c r="C537" s="2">
        <f t="shared" si="8"/>
        <v>42643</v>
      </c>
      <c r="D537" t="s">
        <v>16</v>
      </c>
      <c r="E537" t="s">
        <v>9</v>
      </c>
      <c r="F537">
        <v>2960.09</v>
      </c>
      <c r="G537">
        <v>570.05999999999995</v>
      </c>
    </row>
    <row r="538" spans="1:7" x14ac:dyDescent="0.35">
      <c r="A538" t="s">
        <v>978</v>
      </c>
      <c r="B538" s="1" t="s">
        <v>799</v>
      </c>
      <c r="C538" s="2">
        <f t="shared" si="8"/>
        <v>43039</v>
      </c>
      <c r="D538" t="s">
        <v>12</v>
      </c>
      <c r="E538" t="s">
        <v>9</v>
      </c>
      <c r="F538">
        <v>266.77</v>
      </c>
      <c r="G538">
        <v>60.27</v>
      </c>
    </row>
    <row r="539" spans="1:7" x14ac:dyDescent="0.35">
      <c r="A539" t="s">
        <v>979</v>
      </c>
      <c r="B539" s="1" t="s">
        <v>980</v>
      </c>
      <c r="C539" s="2">
        <f t="shared" si="8"/>
        <v>43159</v>
      </c>
      <c r="D539" t="s">
        <v>37</v>
      </c>
      <c r="E539" t="s">
        <v>9</v>
      </c>
      <c r="F539">
        <v>3206.55</v>
      </c>
      <c r="G539">
        <v>232.78</v>
      </c>
    </row>
    <row r="540" spans="1:7" x14ac:dyDescent="0.35">
      <c r="A540" t="s">
        <v>981</v>
      </c>
      <c r="B540" s="1" t="s">
        <v>982</v>
      </c>
      <c r="C540" s="2">
        <f t="shared" si="8"/>
        <v>42855</v>
      </c>
      <c r="D540" t="s">
        <v>16</v>
      </c>
      <c r="E540" t="s">
        <v>13</v>
      </c>
      <c r="F540">
        <v>2313.16</v>
      </c>
      <c r="G540">
        <v>417.71</v>
      </c>
    </row>
    <row r="541" spans="1:7" x14ac:dyDescent="0.35">
      <c r="A541" t="s">
        <v>983</v>
      </c>
      <c r="B541" s="1" t="s">
        <v>984</v>
      </c>
      <c r="C541" s="2">
        <f t="shared" si="8"/>
        <v>43131</v>
      </c>
      <c r="D541" t="s">
        <v>37</v>
      </c>
      <c r="E541" t="s">
        <v>9</v>
      </c>
      <c r="F541">
        <v>2221.7199999999998</v>
      </c>
      <c r="G541">
        <v>337.61</v>
      </c>
    </row>
    <row r="542" spans="1:7" x14ac:dyDescent="0.35">
      <c r="A542" t="s">
        <v>985</v>
      </c>
      <c r="B542" s="1" t="s">
        <v>24</v>
      </c>
      <c r="C542" s="2">
        <f t="shared" si="8"/>
        <v>42613</v>
      </c>
      <c r="D542" t="s">
        <v>16</v>
      </c>
      <c r="E542" t="s">
        <v>25</v>
      </c>
      <c r="F542">
        <v>3708.6</v>
      </c>
      <c r="G542">
        <v>450.29</v>
      </c>
    </row>
    <row r="543" spans="1:7" x14ac:dyDescent="0.35">
      <c r="A543" t="s">
        <v>986</v>
      </c>
      <c r="B543" s="1" t="s">
        <v>29</v>
      </c>
      <c r="C543" s="2">
        <f t="shared" si="8"/>
        <v>42613</v>
      </c>
      <c r="D543" t="s">
        <v>16</v>
      </c>
      <c r="E543" t="s">
        <v>9</v>
      </c>
      <c r="F543">
        <v>4776.91</v>
      </c>
      <c r="G543">
        <v>975.03</v>
      </c>
    </row>
    <row r="544" spans="1:7" x14ac:dyDescent="0.35">
      <c r="A544" t="s">
        <v>987</v>
      </c>
      <c r="B544" s="1" t="s">
        <v>988</v>
      </c>
      <c r="C544" s="2">
        <f t="shared" si="8"/>
        <v>42674</v>
      </c>
      <c r="D544" t="s">
        <v>12</v>
      </c>
      <c r="E544" t="s">
        <v>25</v>
      </c>
      <c r="F544">
        <v>1178.83</v>
      </c>
      <c r="G544">
        <v>326.76</v>
      </c>
    </row>
    <row r="545" spans="1:7" x14ac:dyDescent="0.35">
      <c r="A545" t="s">
        <v>989</v>
      </c>
      <c r="B545" s="1" t="s">
        <v>990</v>
      </c>
      <c r="C545" s="2">
        <f t="shared" si="8"/>
        <v>42735</v>
      </c>
      <c r="D545" t="s">
        <v>37</v>
      </c>
      <c r="E545" t="s">
        <v>25</v>
      </c>
      <c r="F545">
        <v>705.1</v>
      </c>
      <c r="G545">
        <v>130.05000000000001</v>
      </c>
    </row>
    <row r="546" spans="1:7" x14ac:dyDescent="0.35">
      <c r="A546" t="s">
        <v>991</v>
      </c>
      <c r="B546" s="1" t="s">
        <v>992</v>
      </c>
      <c r="C546" s="2">
        <f t="shared" si="8"/>
        <v>43008</v>
      </c>
      <c r="D546" t="s">
        <v>37</v>
      </c>
      <c r="E546" t="s">
        <v>25</v>
      </c>
      <c r="F546">
        <v>2213.91</v>
      </c>
      <c r="G546">
        <v>344.38</v>
      </c>
    </row>
    <row r="547" spans="1:7" x14ac:dyDescent="0.35">
      <c r="A547" t="s">
        <v>993</v>
      </c>
      <c r="B547" s="1" t="s">
        <v>994</v>
      </c>
      <c r="C547" s="2">
        <f t="shared" si="8"/>
        <v>42886</v>
      </c>
      <c r="D547" t="s">
        <v>12</v>
      </c>
      <c r="E547" t="s">
        <v>13</v>
      </c>
      <c r="F547">
        <v>1505.22</v>
      </c>
      <c r="G547">
        <v>255.31</v>
      </c>
    </row>
    <row r="548" spans="1:7" x14ac:dyDescent="0.35">
      <c r="A548" t="s">
        <v>995</v>
      </c>
      <c r="B548" s="1" t="s">
        <v>996</v>
      </c>
      <c r="C548" s="2">
        <f t="shared" si="8"/>
        <v>43159</v>
      </c>
      <c r="D548" t="s">
        <v>37</v>
      </c>
      <c r="E548" t="s">
        <v>13</v>
      </c>
      <c r="F548">
        <v>3933.02</v>
      </c>
      <c r="G548">
        <v>877.68</v>
      </c>
    </row>
    <row r="549" spans="1:7" x14ac:dyDescent="0.35">
      <c r="A549" t="s">
        <v>997</v>
      </c>
      <c r="B549" s="1" t="s">
        <v>998</v>
      </c>
      <c r="C549" s="2">
        <f t="shared" si="8"/>
        <v>43131</v>
      </c>
      <c r="D549" t="s">
        <v>12</v>
      </c>
      <c r="E549" t="s">
        <v>25</v>
      </c>
      <c r="F549">
        <v>4574.8599999999997</v>
      </c>
      <c r="G549">
        <v>1333.19</v>
      </c>
    </row>
    <row r="550" spans="1:7" x14ac:dyDescent="0.35">
      <c r="A550" t="s">
        <v>999</v>
      </c>
      <c r="B550" s="1" t="s">
        <v>1000</v>
      </c>
      <c r="C550" s="2">
        <f t="shared" si="8"/>
        <v>43100</v>
      </c>
      <c r="D550" t="s">
        <v>16</v>
      </c>
      <c r="E550" t="s">
        <v>13</v>
      </c>
      <c r="F550">
        <v>1741.92</v>
      </c>
      <c r="G550">
        <v>421.84</v>
      </c>
    </row>
    <row r="551" spans="1:7" x14ac:dyDescent="0.35">
      <c r="A551" t="s">
        <v>1001</v>
      </c>
      <c r="B551" s="1" t="s">
        <v>1002</v>
      </c>
      <c r="C551" s="2">
        <f t="shared" si="8"/>
        <v>42855</v>
      </c>
      <c r="D551" t="s">
        <v>16</v>
      </c>
      <c r="E551" t="s">
        <v>25</v>
      </c>
      <c r="F551">
        <v>1593.69</v>
      </c>
      <c r="G551">
        <v>430.5</v>
      </c>
    </row>
    <row r="552" spans="1:7" x14ac:dyDescent="0.35">
      <c r="A552" t="s">
        <v>1003</v>
      </c>
      <c r="B552" s="1" t="s">
        <v>318</v>
      </c>
      <c r="C552" s="2">
        <f t="shared" si="8"/>
        <v>42825</v>
      </c>
      <c r="D552" t="s">
        <v>12</v>
      </c>
      <c r="E552" t="s">
        <v>13</v>
      </c>
      <c r="F552">
        <v>338.25</v>
      </c>
      <c r="G552">
        <v>93.46</v>
      </c>
    </row>
    <row r="553" spans="1:7" x14ac:dyDescent="0.35">
      <c r="A553" t="s">
        <v>1004</v>
      </c>
      <c r="B553" s="1" t="s">
        <v>1005</v>
      </c>
      <c r="C553" s="2">
        <f t="shared" si="8"/>
        <v>43220</v>
      </c>
      <c r="D553" t="s">
        <v>37</v>
      </c>
      <c r="E553" t="s">
        <v>9</v>
      </c>
      <c r="F553">
        <v>514.97</v>
      </c>
      <c r="G553">
        <v>60.29</v>
      </c>
    </row>
    <row r="554" spans="1:7" x14ac:dyDescent="0.35">
      <c r="A554" t="s">
        <v>1006</v>
      </c>
      <c r="B554" s="1" t="s">
        <v>407</v>
      </c>
      <c r="C554" s="2">
        <f t="shared" si="8"/>
        <v>43251</v>
      </c>
      <c r="D554" t="s">
        <v>8</v>
      </c>
      <c r="E554" t="s">
        <v>25</v>
      </c>
      <c r="F554">
        <v>922.25</v>
      </c>
      <c r="G554">
        <v>70.66</v>
      </c>
    </row>
    <row r="555" spans="1:7" x14ac:dyDescent="0.35">
      <c r="A555" t="s">
        <v>1007</v>
      </c>
      <c r="B555" s="1" t="s">
        <v>1008</v>
      </c>
      <c r="C555" s="2">
        <f t="shared" si="8"/>
        <v>43373</v>
      </c>
      <c r="D555" t="s">
        <v>8</v>
      </c>
      <c r="E555" t="s">
        <v>9</v>
      </c>
      <c r="F555">
        <v>3003.08</v>
      </c>
      <c r="G555">
        <v>324.89</v>
      </c>
    </row>
    <row r="556" spans="1:7" x14ac:dyDescent="0.35">
      <c r="A556" t="s">
        <v>1009</v>
      </c>
      <c r="B556" s="1" t="s">
        <v>1010</v>
      </c>
      <c r="C556" s="2">
        <f t="shared" si="8"/>
        <v>43039</v>
      </c>
      <c r="D556" t="s">
        <v>37</v>
      </c>
      <c r="E556" t="s">
        <v>13</v>
      </c>
      <c r="F556">
        <v>168.37</v>
      </c>
      <c r="G556">
        <v>35</v>
      </c>
    </row>
    <row r="557" spans="1:7" x14ac:dyDescent="0.35">
      <c r="A557" t="s">
        <v>1011</v>
      </c>
      <c r="B557" s="1" t="s">
        <v>1012</v>
      </c>
      <c r="C557" s="2">
        <f t="shared" si="8"/>
        <v>42429</v>
      </c>
      <c r="D557" t="s">
        <v>12</v>
      </c>
      <c r="E557" t="s">
        <v>9</v>
      </c>
      <c r="F557">
        <v>4257.6499999999996</v>
      </c>
      <c r="G557">
        <v>427.19</v>
      </c>
    </row>
    <row r="558" spans="1:7" x14ac:dyDescent="0.35">
      <c r="A558" t="s">
        <v>1013</v>
      </c>
      <c r="B558" s="1" t="s">
        <v>1014</v>
      </c>
      <c r="C558" s="2">
        <f t="shared" si="8"/>
        <v>42521</v>
      </c>
      <c r="D558" t="s">
        <v>37</v>
      </c>
      <c r="E558" t="s">
        <v>9</v>
      </c>
      <c r="F558">
        <v>2996.8</v>
      </c>
      <c r="G558">
        <v>755.11</v>
      </c>
    </row>
    <row r="559" spans="1:7" x14ac:dyDescent="0.35">
      <c r="A559" t="s">
        <v>1015</v>
      </c>
      <c r="B559" s="1" t="s">
        <v>1016</v>
      </c>
      <c r="C559" s="2">
        <f t="shared" si="8"/>
        <v>43220</v>
      </c>
      <c r="D559" t="s">
        <v>37</v>
      </c>
      <c r="E559" t="s">
        <v>13</v>
      </c>
      <c r="F559">
        <v>402.67</v>
      </c>
      <c r="G559">
        <v>106.52</v>
      </c>
    </row>
    <row r="560" spans="1:7" x14ac:dyDescent="0.35">
      <c r="A560" t="s">
        <v>1017</v>
      </c>
      <c r="B560" s="1" t="s">
        <v>1018</v>
      </c>
      <c r="C560" s="2">
        <f t="shared" si="8"/>
        <v>42490</v>
      </c>
      <c r="D560" t="s">
        <v>16</v>
      </c>
      <c r="E560" t="s">
        <v>13</v>
      </c>
      <c r="F560">
        <v>3594.76</v>
      </c>
      <c r="G560">
        <v>551.20000000000005</v>
      </c>
    </row>
    <row r="561" spans="1:7" x14ac:dyDescent="0.35">
      <c r="A561" t="s">
        <v>1019</v>
      </c>
      <c r="B561" s="1" t="s">
        <v>645</v>
      </c>
      <c r="C561" s="2">
        <f t="shared" si="8"/>
        <v>42400</v>
      </c>
      <c r="D561" t="s">
        <v>37</v>
      </c>
      <c r="E561" t="s">
        <v>13</v>
      </c>
      <c r="F561">
        <v>1980.27</v>
      </c>
      <c r="G561">
        <v>562.29999999999995</v>
      </c>
    </row>
    <row r="562" spans="1:7" x14ac:dyDescent="0.35">
      <c r="A562" t="s">
        <v>1020</v>
      </c>
      <c r="B562" s="1" t="s">
        <v>1021</v>
      </c>
      <c r="C562" s="2">
        <f t="shared" si="8"/>
        <v>42825</v>
      </c>
      <c r="D562" t="s">
        <v>37</v>
      </c>
      <c r="E562" t="s">
        <v>9</v>
      </c>
      <c r="F562">
        <v>3444.96</v>
      </c>
      <c r="G562">
        <v>351.36</v>
      </c>
    </row>
    <row r="563" spans="1:7" x14ac:dyDescent="0.35">
      <c r="A563" t="s">
        <v>1022</v>
      </c>
      <c r="B563" s="1" t="s">
        <v>171</v>
      </c>
      <c r="C563" s="2">
        <f t="shared" si="8"/>
        <v>43373</v>
      </c>
      <c r="D563" t="s">
        <v>8</v>
      </c>
      <c r="E563" t="s">
        <v>13</v>
      </c>
      <c r="F563">
        <v>3886.53</v>
      </c>
      <c r="G563">
        <v>838.37</v>
      </c>
    </row>
    <row r="564" spans="1:7" x14ac:dyDescent="0.35">
      <c r="A564" t="s">
        <v>1023</v>
      </c>
      <c r="B564" s="1" t="s">
        <v>1024</v>
      </c>
      <c r="C564" s="2">
        <f t="shared" si="8"/>
        <v>42521</v>
      </c>
      <c r="D564" t="s">
        <v>16</v>
      </c>
      <c r="E564" t="s">
        <v>13</v>
      </c>
      <c r="F564">
        <v>1952.2</v>
      </c>
      <c r="G564">
        <v>476.15</v>
      </c>
    </row>
    <row r="565" spans="1:7" x14ac:dyDescent="0.35">
      <c r="A565" t="s">
        <v>1025</v>
      </c>
      <c r="B565" s="1" t="s">
        <v>1026</v>
      </c>
      <c r="C565" s="2">
        <f t="shared" si="8"/>
        <v>43373</v>
      </c>
      <c r="D565" t="s">
        <v>16</v>
      </c>
      <c r="E565" t="s">
        <v>9</v>
      </c>
      <c r="F565">
        <v>1047.3599999999999</v>
      </c>
      <c r="G565">
        <v>224.37</v>
      </c>
    </row>
    <row r="566" spans="1:7" x14ac:dyDescent="0.35">
      <c r="A566" t="s">
        <v>1027</v>
      </c>
      <c r="B566" s="1" t="s">
        <v>441</v>
      </c>
      <c r="C566" s="2">
        <f t="shared" si="8"/>
        <v>43251</v>
      </c>
      <c r="D566" t="s">
        <v>12</v>
      </c>
      <c r="E566" t="s">
        <v>9</v>
      </c>
      <c r="F566">
        <v>2003.18</v>
      </c>
      <c r="G566">
        <v>289.73</v>
      </c>
    </row>
    <row r="567" spans="1:7" x14ac:dyDescent="0.35">
      <c r="A567" t="s">
        <v>1028</v>
      </c>
      <c r="B567" s="1" t="s">
        <v>1029</v>
      </c>
      <c r="C567" s="2">
        <f t="shared" si="8"/>
        <v>42947</v>
      </c>
      <c r="D567" t="s">
        <v>16</v>
      </c>
      <c r="E567" t="s">
        <v>25</v>
      </c>
      <c r="F567">
        <v>915.77</v>
      </c>
      <c r="G567">
        <v>237.17</v>
      </c>
    </row>
    <row r="568" spans="1:7" x14ac:dyDescent="0.35">
      <c r="A568" t="s">
        <v>1030</v>
      </c>
      <c r="B568" s="1" t="s">
        <v>256</v>
      </c>
      <c r="C568" s="2">
        <f t="shared" si="8"/>
        <v>42674</v>
      </c>
      <c r="D568" t="s">
        <v>12</v>
      </c>
      <c r="E568" t="s">
        <v>13</v>
      </c>
      <c r="F568">
        <v>1799.48</v>
      </c>
      <c r="G568">
        <v>348.18</v>
      </c>
    </row>
    <row r="569" spans="1:7" x14ac:dyDescent="0.35">
      <c r="A569" t="s">
        <v>1031</v>
      </c>
      <c r="B569" s="1" t="s">
        <v>634</v>
      </c>
      <c r="C569" s="2">
        <f t="shared" si="8"/>
        <v>43008</v>
      </c>
      <c r="D569" t="s">
        <v>12</v>
      </c>
      <c r="E569" t="s">
        <v>9</v>
      </c>
      <c r="F569">
        <v>4254.8999999999996</v>
      </c>
      <c r="G569">
        <v>901.63</v>
      </c>
    </row>
    <row r="570" spans="1:7" x14ac:dyDescent="0.35">
      <c r="A570" t="s">
        <v>1032</v>
      </c>
      <c r="B570" s="1" t="s">
        <v>1033</v>
      </c>
      <c r="C570" s="2">
        <f t="shared" si="8"/>
        <v>42766</v>
      </c>
      <c r="D570" t="s">
        <v>16</v>
      </c>
      <c r="E570" t="s">
        <v>13</v>
      </c>
      <c r="F570">
        <v>992.82</v>
      </c>
      <c r="G570">
        <v>80.680000000000007</v>
      </c>
    </row>
    <row r="571" spans="1:7" x14ac:dyDescent="0.35">
      <c r="A571" t="s">
        <v>1034</v>
      </c>
      <c r="B571" s="1" t="s">
        <v>1035</v>
      </c>
      <c r="C571" s="2">
        <f t="shared" si="8"/>
        <v>42766</v>
      </c>
      <c r="D571" t="s">
        <v>37</v>
      </c>
      <c r="E571" t="s">
        <v>25</v>
      </c>
      <c r="F571">
        <v>2690.74</v>
      </c>
      <c r="G571">
        <v>169.98</v>
      </c>
    </row>
    <row r="572" spans="1:7" x14ac:dyDescent="0.35">
      <c r="A572" t="s">
        <v>1036</v>
      </c>
      <c r="B572" s="1" t="s">
        <v>1037</v>
      </c>
      <c r="C572" s="2">
        <f t="shared" si="8"/>
        <v>43251</v>
      </c>
      <c r="D572" t="s">
        <v>12</v>
      </c>
      <c r="E572" t="s">
        <v>25</v>
      </c>
      <c r="F572">
        <v>1997.39</v>
      </c>
      <c r="G572">
        <v>442.93</v>
      </c>
    </row>
    <row r="573" spans="1:7" x14ac:dyDescent="0.35">
      <c r="A573" t="s">
        <v>1038</v>
      </c>
      <c r="B573" s="1" t="s">
        <v>1039</v>
      </c>
      <c r="C573" s="2">
        <f t="shared" si="8"/>
        <v>42521</v>
      </c>
      <c r="D573" t="s">
        <v>12</v>
      </c>
      <c r="E573" t="s">
        <v>25</v>
      </c>
      <c r="F573">
        <v>475.6</v>
      </c>
      <c r="G573">
        <v>33.729999999999997</v>
      </c>
    </row>
    <row r="574" spans="1:7" x14ac:dyDescent="0.35">
      <c r="A574" t="s">
        <v>1040</v>
      </c>
      <c r="B574" s="1" t="s">
        <v>494</v>
      </c>
      <c r="C574" s="2">
        <f t="shared" si="8"/>
        <v>42429</v>
      </c>
      <c r="D574" t="s">
        <v>16</v>
      </c>
      <c r="E574" t="s">
        <v>9</v>
      </c>
      <c r="F574">
        <v>4839.6400000000003</v>
      </c>
      <c r="G574">
        <v>716.39</v>
      </c>
    </row>
    <row r="575" spans="1:7" x14ac:dyDescent="0.35">
      <c r="A575" t="s">
        <v>1041</v>
      </c>
      <c r="B575" s="1" t="s">
        <v>551</v>
      </c>
      <c r="C575" s="2">
        <f t="shared" si="8"/>
        <v>42947</v>
      </c>
      <c r="D575" t="s">
        <v>8</v>
      </c>
      <c r="E575" t="s">
        <v>13</v>
      </c>
      <c r="F575">
        <v>4876.3100000000004</v>
      </c>
      <c r="G575">
        <v>754</v>
      </c>
    </row>
    <row r="576" spans="1:7" x14ac:dyDescent="0.35">
      <c r="A576" t="s">
        <v>1042</v>
      </c>
      <c r="B576" s="1" t="s">
        <v>1043</v>
      </c>
      <c r="C576" s="2">
        <f t="shared" si="8"/>
        <v>42735</v>
      </c>
      <c r="D576" t="s">
        <v>8</v>
      </c>
      <c r="E576" t="s">
        <v>13</v>
      </c>
      <c r="F576">
        <v>4776.6400000000003</v>
      </c>
      <c r="G576">
        <v>1378.82</v>
      </c>
    </row>
    <row r="577" spans="1:7" x14ac:dyDescent="0.35">
      <c r="A577" t="s">
        <v>1044</v>
      </c>
      <c r="B577" s="1" t="s">
        <v>1045</v>
      </c>
      <c r="C577" s="2">
        <f t="shared" si="8"/>
        <v>42947</v>
      </c>
      <c r="D577" t="s">
        <v>8</v>
      </c>
      <c r="E577" t="s">
        <v>25</v>
      </c>
      <c r="F577">
        <v>2206.67</v>
      </c>
      <c r="G577">
        <v>236.32</v>
      </c>
    </row>
    <row r="578" spans="1:7" x14ac:dyDescent="0.35">
      <c r="A578" t="s">
        <v>1046</v>
      </c>
      <c r="B578" s="1" t="s">
        <v>1047</v>
      </c>
      <c r="C578" s="2">
        <f t="shared" si="8"/>
        <v>42582</v>
      </c>
      <c r="D578" t="s">
        <v>16</v>
      </c>
      <c r="E578" t="s">
        <v>13</v>
      </c>
      <c r="F578">
        <v>4616.37</v>
      </c>
      <c r="G578">
        <v>744.99</v>
      </c>
    </row>
    <row r="579" spans="1:7" x14ac:dyDescent="0.35">
      <c r="A579" t="s">
        <v>1048</v>
      </c>
      <c r="B579" s="1" t="s">
        <v>298</v>
      </c>
      <c r="C579" s="2">
        <f t="shared" ref="C579:C642" si="9">EOMONTH(B579,0)</f>
        <v>43312</v>
      </c>
      <c r="D579" t="s">
        <v>37</v>
      </c>
      <c r="E579" t="s">
        <v>13</v>
      </c>
      <c r="F579">
        <v>4342.05</v>
      </c>
      <c r="G579">
        <v>1007.01</v>
      </c>
    </row>
    <row r="580" spans="1:7" x14ac:dyDescent="0.35">
      <c r="A580" t="s">
        <v>1049</v>
      </c>
      <c r="B580" s="1" t="s">
        <v>371</v>
      </c>
      <c r="C580" s="2">
        <f t="shared" si="9"/>
        <v>43100</v>
      </c>
      <c r="D580" t="s">
        <v>12</v>
      </c>
      <c r="E580" t="s">
        <v>9</v>
      </c>
      <c r="F580">
        <v>4538.3100000000004</v>
      </c>
      <c r="G580">
        <v>1111.5</v>
      </c>
    </row>
    <row r="581" spans="1:7" x14ac:dyDescent="0.35">
      <c r="A581" t="s">
        <v>1050</v>
      </c>
      <c r="B581" s="1" t="s">
        <v>250</v>
      </c>
      <c r="C581" s="2">
        <f t="shared" si="9"/>
        <v>42643</v>
      </c>
      <c r="D581" t="s">
        <v>8</v>
      </c>
      <c r="E581" t="s">
        <v>13</v>
      </c>
      <c r="F581">
        <v>4658.42</v>
      </c>
      <c r="G581">
        <v>664.62</v>
      </c>
    </row>
    <row r="582" spans="1:7" x14ac:dyDescent="0.35">
      <c r="A582" t="s">
        <v>1051</v>
      </c>
      <c r="B582" s="1" t="s">
        <v>1033</v>
      </c>
      <c r="C582" s="2">
        <f t="shared" si="9"/>
        <v>42766</v>
      </c>
      <c r="D582" t="s">
        <v>12</v>
      </c>
      <c r="E582" t="s">
        <v>13</v>
      </c>
      <c r="F582">
        <v>2674.49</v>
      </c>
      <c r="G582">
        <v>748.13</v>
      </c>
    </row>
    <row r="583" spans="1:7" x14ac:dyDescent="0.35">
      <c r="A583" t="s">
        <v>1052</v>
      </c>
      <c r="B583" s="1" t="s">
        <v>977</v>
      </c>
      <c r="C583" s="2">
        <f t="shared" si="9"/>
        <v>42643</v>
      </c>
      <c r="D583" t="s">
        <v>8</v>
      </c>
      <c r="E583" t="s">
        <v>25</v>
      </c>
      <c r="F583">
        <v>191.67</v>
      </c>
      <c r="G583">
        <v>44.42</v>
      </c>
    </row>
    <row r="584" spans="1:7" x14ac:dyDescent="0.35">
      <c r="A584" t="s">
        <v>1053</v>
      </c>
      <c r="B584" s="1" t="s">
        <v>1054</v>
      </c>
      <c r="C584" s="2">
        <f t="shared" si="9"/>
        <v>43190</v>
      </c>
      <c r="D584" t="s">
        <v>12</v>
      </c>
      <c r="E584" t="s">
        <v>13</v>
      </c>
      <c r="F584">
        <v>4697.54</v>
      </c>
      <c r="G584">
        <v>254.34</v>
      </c>
    </row>
    <row r="585" spans="1:7" x14ac:dyDescent="0.35">
      <c r="A585" t="s">
        <v>1055</v>
      </c>
      <c r="B585" s="1" t="s">
        <v>1056</v>
      </c>
      <c r="C585" s="2">
        <f t="shared" si="9"/>
        <v>43312</v>
      </c>
      <c r="D585" t="s">
        <v>12</v>
      </c>
      <c r="E585" t="s">
        <v>9</v>
      </c>
      <c r="F585">
        <v>2237.4699999999998</v>
      </c>
      <c r="G585">
        <v>524.28</v>
      </c>
    </row>
    <row r="586" spans="1:7" x14ac:dyDescent="0.35">
      <c r="A586" t="s">
        <v>1057</v>
      </c>
      <c r="B586" s="1" t="s">
        <v>1058</v>
      </c>
      <c r="C586" s="2">
        <f t="shared" si="9"/>
        <v>42794</v>
      </c>
      <c r="D586" t="s">
        <v>12</v>
      </c>
      <c r="E586" t="s">
        <v>9</v>
      </c>
      <c r="F586">
        <v>817.96</v>
      </c>
      <c r="G586">
        <v>198.09</v>
      </c>
    </row>
    <row r="587" spans="1:7" x14ac:dyDescent="0.35">
      <c r="A587" t="s">
        <v>1059</v>
      </c>
      <c r="B587" s="1" t="s">
        <v>1060</v>
      </c>
      <c r="C587" s="2">
        <f t="shared" si="9"/>
        <v>42613</v>
      </c>
      <c r="D587" t="s">
        <v>16</v>
      </c>
      <c r="E587" t="s">
        <v>9</v>
      </c>
      <c r="F587">
        <v>4792.3900000000003</v>
      </c>
      <c r="G587">
        <v>1047.49</v>
      </c>
    </row>
    <row r="588" spans="1:7" x14ac:dyDescent="0.35">
      <c r="A588" t="s">
        <v>1061</v>
      </c>
      <c r="B588" s="1" t="s">
        <v>769</v>
      </c>
      <c r="C588" s="2">
        <f t="shared" si="9"/>
        <v>42825</v>
      </c>
      <c r="D588" t="s">
        <v>37</v>
      </c>
      <c r="E588" t="s">
        <v>25</v>
      </c>
      <c r="F588">
        <v>2829.22</v>
      </c>
      <c r="G588">
        <v>303.39999999999998</v>
      </c>
    </row>
    <row r="589" spans="1:7" x14ac:dyDescent="0.35">
      <c r="A589" t="s">
        <v>1062</v>
      </c>
      <c r="B589" s="1" t="s">
        <v>1063</v>
      </c>
      <c r="C589" s="2">
        <f t="shared" si="9"/>
        <v>42521</v>
      </c>
      <c r="D589" t="s">
        <v>37</v>
      </c>
      <c r="E589" t="s">
        <v>9</v>
      </c>
      <c r="F589">
        <v>2303.27</v>
      </c>
      <c r="G589">
        <v>279.69</v>
      </c>
    </row>
    <row r="590" spans="1:7" x14ac:dyDescent="0.35">
      <c r="A590" t="s">
        <v>1064</v>
      </c>
      <c r="B590" s="1" t="s">
        <v>1065</v>
      </c>
      <c r="C590" s="2">
        <f t="shared" si="9"/>
        <v>42978</v>
      </c>
      <c r="D590" t="s">
        <v>16</v>
      </c>
      <c r="E590" t="s">
        <v>25</v>
      </c>
      <c r="F590">
        <v>4321.25</v>
      </c>
      <c r="G590">
        <v>1286.29</v>
      </c>
    </row>
    <row r="591" spans="1:7" x14ac:dyDescent="0.35">
      <c r="A591" t="s">
        <v>1066</v>
      </c>
      <c r="B591" s="1" t="s">
        <v>87</v>
      </c>
      <c r="C591" s="2">
        <f t="shared" si="9"/>
        <v>43312</v>
      </c>
      <c r="D591" t="s">
        <v>12</v>
      </c>
      <c r="E591" t="s">
        <v>25</v>
      </c>
      <c r="F591">
        <v>4233.42</v>
      </c>
      <c r="G591">
        <v>855.91</v>
      </c>
    </row>
    <row r="592" spans="1:7" x14ac:dyDescent="0.35">
      <c r="A592" t="s">
        <v>1067</v>
      </c>
      <c r="B592" s="1" t="s">
        <v>1068</v>
      </c>
      <c r="C592" s="2">
        <f t="shared" si="9"/>
        <v>43343</v>
      </c>
      <c r="D592" t="s">
        <v>37</v>
      </c>
      <c r="E592" t="s">
        <v>9</v>
      </c>
      <c r="F592">
        <v>158.53</v>
      </c>
      <c r="G592">
        <v>34.619999999999997</v>
      </c>
    </row>
    <row r="593" spans="1:7" x14ac:dyDescent="0.35">
      <c r="A593" t="s">
        <v>1069</v>
      </c>
      <c r="B593" s="1" t="s">
        <v>191</v>
      </c>
      <c r="C593" s="2">
        <f t="shared" si="9"/>
        <v>43251</v>
      </c>
      <c r="D593" t="s">
        <v>8</v>
      </c>
      <c r="E593" t="s">
        <v>13</v>
      </c>
      <c r="F593">
        <v>3995.2</v>
      </c>
      <c r="G593">
        <v>700.45</v>
      </c>
    </row>
    <row r="594" spans="1:7" x14ac:dyDescent="0.35">
      <c r="A594" t="s">
        <v>1070</v>
      </c>
      <c r="B594" s="1" t="s">
        <v>1071</v>
      </c>
      <c r="C594" s="2">
        <f t="shared" si="9"/>
        <v>43159</v>
      </c>
      <c r="D594" t="s">
        <v>16</v>
      </c>
      <c r="E594" t="s">
        <v>13</v>
      </c>
      <c r="F594">
        <v>2515.11</v>
      </c>
      <c r="G594">
        <v>624.91</v>
      </c>
    </row>
    <row r="595" spans="1:7" x14ac:dyDescent="0.35">
      <c r="A595" t="s">
        <v>1072</v>
      </c>
      <c r="B595" s="1" t="s">
        <v>1073</v>
      </c>
      <c r="C595" s="2">
        <f t="shared" si="9"/>
        <v>42582</v>
      </c>
      <c r="D595" t="s">
        <v>12</v>
      </c>
      <c r="E595" t="s">
        <v>13</v>
      </c>
      <c r="F595">
        <v>3370.12</v>
      </c>
      <c r="G595">
        <v>956.52</v>
      </c>
    </row>
    <row r="596" spans="1:7" x14ac:dyDescent="0.35">
      <c r="A596" t="s">
        <v>1074</v>
      </c>
      <c r="B596" s="1" t="s">
        <v>100</v>
      </c>
      <c r="C596" s="2">
        <f t="shared" si="9"/>
        <v>43312</v>
      </c>
      <c r="D596" t="s">
        <v>8</v>
      </c>
      <c r="E596" t="s">
        <v>13</v>
      </c>
      <c r="F596">
        <v>4656.88</v>
      </c>
      <c r="G596">
        <v>1351.88</v>
      </c>
    </row>
    <row r="597" spans="1:7" x14ac:dyDescent="0.35">
      <c r="A597" t="s">
        <v>1075</v>
      </c>
      <c r="B597" s="1" t="s">
        <v>1076</v>
      </c>
      <c r="C597" s="2">
        <f t="shared" si="9"/>
        <v>43220</v>
      </c>
      <c r="D597" t="s">
        <v>12</v>
      </c>
      <c r="E597" t="s">
        <v>25</v>
      </c>
      <c r="F597">
        <v>1405.5</v>
      </c>
      <c r="G597">
        <v>210.93</v>
      </c>
    </row>
    <row r="598" spans="1:7" x14ac:dyDescent="0.35">
      <c r="A598" t="s">
        <v>1077</v>
      </c>
      <c r="B598" s="1" t="s">
        <v>1078</v>
      </c>
      <c r="C598" s="2">
        <f t="shared" si="9"/>
        <v>42766</v>
      </c>
      <c r="D598" t="s">
        <v>12</v>
      </c>
      <c r="E598" t="s">
        <v>9</v>
      </c>
      <c r="F598">
        <v>3344.51</v>
      </c>
      <c r="G598">
        <v>1000.57</v>
      </c>
    </row>
    <row r="599" spans="1:7" x14ac:dyDescent="0.35">
      <c r="A599" t="s">
        <v>1079</v>
      </c>
      <c r="B599" s="1" t="s">
        <v>1080</v>
      </c>
      <c r="C599" s="2">
        <f t="shared" si="9"/>
        <v>43343</v>
      </c>
      <c r="D599" t="s">
        <v>16</v>
      </c>
      <c r="E599" t="s">
        <v>13</v>
      </c>
      <c r="F599">
        <v>841.73</v>
      </c>
      <c r="G599">
        <v>206.63</v>
      </c>
    </row>
    <row r="600" spans="1:7" x14ac:dyDescent="0.35">
      <c r="A600" t="s">
        <v>1081</v>
      </c>
      <c r="B600" s="1" t="s">
        <v>1082</v>
      </c>
      <c r="C600" s="2">
        <f t="shared" si="9"/>
        <v>42886</v>
      </c>
      <c r="D600" t="s">
        <v>12</v>
      </c>
      <c r="E600" t="s">
        <v>25</v>
      </c>
      <c r="F600">
        <v>2846.52</v>
      </c>
      <c r="G600">
        <v>315.89999999999998</v>
      </c>
    </row>
    <row r="601" spans="1:7" x14ac:dyDescent="0.35">
      <c r="A601" t="s">
        <v>1083</v>
      </c>
      <c r="B601" s="1" t="s">
        <v>1084</v>
      </c>
      <c r="C601" s="2">
        <f t="shared" si="9"/>
        <v>42674</v>
      </c>
      <c r="D601" t="s">
        <v>37</v>
      </c>
      <c r="E601" t="s">
        <v>9</v>
      </c>
      <c r="F601">
        <v>3025.9</v>
      </c>
      <c r="G601">
        <v>623.27</v>
      </c>
    </row>
    <row r="602" spans="1:7" x14ac:dyDescent="0.35">
      <c r="A602" t="s">
        <v>1085</v>
      </c>
      <c r="B602" s="1" t="s">
        <v>1086</v>
      </c>
      <c r="C602" s="2">
        <f t="shared" si="9"/>
        <v>43069</v>
      </c>
      <c r="D602" t="s">
        <v>12</v>
      </c>
      <c r="E602" t="s">
        <v>25</v>
      </c>
      <c r="F602">
        <v>2903.56</v>
      </c>
      <c r="G602">
        <v>450.8</v>
      </c>
    </row>
    <row r="603" spans="1:7" x14ac:dyDescent="0.35">
      <c r="A603" t="s">
        <v>1087</v>
      </c>
      <c r="B603" s="1" t="s">
        <v>1088</v>
      </c>
      <c r="C603" s="2">
        <f t="shared" si="9"/>
        <v>42735</v>
      </c>
      <c r="D603" t="s">
        <v>12</v>
      </c>
      <c r="E603" t="s">
        <v>9</v>
      </c>
      <c r="F603">
        <v>2136.21</v>
      </c>
      <c r="G603">
        <v>244.17</v>
      </c>
    </row>
    <row r="604" spans="1:7" x14ac:dyDescent="0.35">
      <c r="A604" t="s">
        <v>1089</v>
      </c>
      <c r="B604" s="1" t="s">
        <v>1090</v>
      </c>
      <c r="C604" s="2">
        <f t="shared" si="9"/>
        <v>42916</v>
      </c>
      <c r="D604" t="s">
        <v>37</v>
      </c>
      <c r="E604" t="s">
        <v>25</v>
      </c>
      <c r="F604">
        <v>165.2</v>
      </c>
      <c r="G604">
        <v>18.34</v>
      </c>
    </row>
    <row r="605" spans="1:7" x14ac:dyDescent="0.35">
      <c r="A605" t="s">
        <v>1091</v>
      </c>
      <c r="B605" s="1" t="s">
        <v>353</v>
      </c>
      <c r="C605" s="2">
        <f t="shared" si="9"/>
        <v>42855</v>
      </c>
      <c r="D605" t="s">
        <v>8</v>
      </c>
      <c r="E605" t="s">
        <v>25</v>
      </c>
      <c r="F605">
        <v>1788.19</v>
      </c>
      <c r="G605">
        <v>184.12</v>
      </c>
    </row>
    <row r="606" spans="1:7" x14ac:dyDescent="0.35">
      <c r="A606" t="s">
        <v>1092</v>
      </c>
      <c r="B606" s="1" t="s">
        <v>280</v>
      </c>
      <c r="C606" s="2">
        <f t="shared" si="9"/>
        <v>42460</v>
      </c>
      <c r="D606" t="s">
        <v>37</v>
      </c>
      <c r="E606" t="s">
        <v>9</v>
      </c>
      <c r="F606">
        <v>4621.97</v>
      </c>
      <c r="G606">
        <v>1202.5899999999999</v>
      </c>
    </row>
    <row r="607" spans="1:7" x14ac:dyDescent="0.35">
      <c r="A607" t="s">
        <v>1093</v>
      </c>
      <c r="B607" s="1" t="s">
        <v>1094</v>
      </c>
      <c r="C607" s="2">
        <f t="shared" si="9"/>
        <v>42886</v>
      </c>
      <c r="D607" t="s">
        <v>12</v>
      </c>
      <c r="E607" t="s">
        <v>25</v>
      </c>
      <c r="F607">
        <v>377.3</v>
      </c>
      <c r="G607">
        <v>39.869999999999997</v>
      </c>
    </row>
    <row r="608" spans="1:7" x14ac:dyDescent="0.35">
      <c r="A608" t="s">
        <v>1095</v>
      </c>
      <c r="B608" s="1" t="s">
        <v>322</v>
      </c>
      <c r="C608" s="2">
        <f t="shared" si="9"/>
        <v>43159</v>
      </c>
      <c r="D608" t="s">
        <v>12</v>
      </c>
      <c r="E608" t="s">
        <v>13</v>
      </c>
      <c r="F608">
        <v>880.17</v>
      </c>
      <c r="G608">
        <v>113.1</v>
      </c>
    </row>
    <row r="609" spans="1:7" x14ac:dyDescent="0.35">
      <c r="A609" t="s">
        <v>1096</v>
      </c>
      <c r="B609" s="1" t="s">
        <v>175</v>
      </c>
      <c r="C609" s="2">
        <f t="shared" si="9"/>
        <v>43069</v>
      </c>
      <c r="D609" t="s">
        <v>37</v>
      </c>
      <c r="E609" t="s">
        <v>13</v>
      </c>
      <c r="F609">
        <v>585.87</v>
      </c>
      <c r="G609">
        <v>67.55</v>
      </c>
    </row>
    <row r="610" spans="1:7" x14ac:dyDescent="0.35">
      <c r="A610" t="s">
        <v>1097</v>
      </c>
      <c r="B610" s="1" t="s">
        <v>747</v>
      </c>
      <c r="C610" s="2">
        <f t="shared" si="9"/>
        <v>43281</v>
      </c>
      <c r="D610" t="s">
        <v>8</v>
      </c>
      <c r="E610" t="s">
        <v>9</v>
      </c>
      <c r="F610">
        <v>528.65</v>
      </c>
      <c r="G610">
        <v>67.31</v>
      </c>
    </row>
    <row r="611" spans="1:7" x14ac:dyDescent="0.35">
      <c r="A611" t="s">
        <v>1098</v>
      </c>
      <c r="B611" s="1" t="s">
        <v>1099</v>
      </c>
      <c r="C611" s="2">
        <f t="shared" si="9"/>
        <v>42643</v>
      </c>
      <c r="D611" t="s">
        <v>16</v>
      </c>
      <c r="E611" t="s">
        <v>9</v>
      </c>
      <c r="F611">
        <v>4354.3</v>
      </c>
      <c r="G611">
        <v>669.69</v>
      </c>
    </row>
    <row r="612" spans="1:7" x14ac:dyDescent="0.35">
      <c r="A612" t="s">
        <v>1100</v>
      </c>
      <c r="B612" s="1" t="s">
        <v>31</v>
      </c>
      <c r="C612" s="2">
        <f t="shared" si="9"/>
        <v>43343</v>
      </c>
      <c r="D612" t="s">
        <v>8</v>
      </c>
      <c r="E612" t="s">
        <v>25</v>
      </c>
      <c r="F612">
        <v>4200.51</v>
      </c>
      <c r="G612">
        <v>805.13</v>
      </c>
    </row>
    <row r="613" spans="1:7" x14ac:dyDescent="0.35">
      <c r="A613" t="s">
        <v>1101</v>
      </c>
      <c r="B613" s="1" t="s">
        <v>1102</v>
      </c>
      <c r="C613" s="2">
        <f t="shared" si="9"/>
        <v>42674</v>
      </c>
      <c r="D613" t="s">
        <v>12</v>
      </c>
      <c r="E613" t="s">
        <v>9</v>
      </c>
      <c r="F613">
        <v>4248.1499999999996</v>
      </c>
      <c r="G613">
        <v>1262.54</v>
      </c>
    </row>
    <row r="614" spans="1:7" x14ac:dyDescent="0.35">
      <c r="A614" t="s">
        <v>1103</v>
      </c>
      <c r="B614" s="1" t="s">
        <v>381</v>
      </c>
      <c r="C614" s="2">
        <f t="shared" si="9"/>
        <v>42916</v>
      </c>
      <c r="D614" t="s">
        <v>8</v>
      </c>
      <c r="E614" t="s">
        <v>25</v>
      </c>
      <c r="F614">
        <v>3540.2</v>
      </c>
      <c r="G614">
        <v>418.48</v>
      </c>
    </row>
    <row r="615" spans="1:7" x14ac:dyDescent="0.35">
      <c r="A615" t="s">
        <v>1104</v>
      </c>
      <c r="B615" s="1" t="s">
        <v>1105</v>
      </c>
      <c r="C615" s="2">
        <f t="shared" si="9"/>
        <v>43343</v>
      </c>
      <c r="D615" t="s">
        <v>37</v>
      </c>
      <c r="E615" t="s">
        <v>13</v>
      </c>
      <c r="F615">
        <v>1681.41</v>
      </c>
      <c r="G615">
        <v>294.77</v>
      </c>
    </row>
    <row r="616" spans="1:7" x14ac:dyDescent="0.35">
      <c r="A616" t="s">
        <v>1106</v>
      </c>
      <c r="B616" s="1" t="s">
        <v>990</v>
      </c>
      <c r="C616" s="2">
        <f t="shared" si="9"/>
        <v>42735</v>
      </c>
      <c r="D616" t="s">
        <v>12</v>
      </c>
      <c r="E616" t="s">
        <v>9</v>
      </c>
      <c r="F616">
        <v>2753.9</v>
      </c>
      <c r="G616">
        <v>522.19000000000005</v>
      </c>
    </row>
    <row r="617" spans="1:7" x14ac:dyDescent="0.35">
      <c r="A617" t="s">
        <v>1107</v>
      </c>
      <c r="B617" s="1" t="s">
        <v>1108</v>
      </c>
      <c r="C617" s="2">
        <f t="shared" si="9"/>
        <v>43100</v>
      </c>
      <c r="D617" t="s">
        <v>8</v>
      </c>
      <c r="E617" t="s">
        <v>25</v>
      </c>
      <c r="F617">
        <v>1130.28</v>
      </c>
      <c r="G617">
        <v>220.47</v>
      </c>
    </row>
    <row r="618" spans="1:7" x14ac:dyDescent="0.35">
      <c r="A618" t="s">
        <v>1109</v>
      </c>
      <c r="B618" s="1" t="s">
        <v>1110</v>
      </c>
      <c r="C618" s="2">
        <f t="shared" si="9"/>
        <v>43039</v>
      </c>
      <c r="D618" t="s">
        <v>12</v>
      </c>
      <c r="E618" t="s">
        <v>25</v>
      </c>
      <c r="F618">
        <v>3575.34</v>
      </c>
      <c r="G618">
        <v>641.86</v>
      </c>
    </row>
    <row r="619" spans="1:7" x14ac:dyDescent="0.35">
      <c r="A619" t="s">
        <v>1111</v>
      </c>
      <c r="B619" s="1" t="s">
        <v>359</v>
      </c>
      <c r="C619" s="2">
        <f t="shared" si="9"/>
        <v>43039</v>
      </c>
      <c r="D619" t="s">
        <v>16</v>
      </c>
      <c r="E619" t="s">
        <v>9</v>
      </c>
      <c r="F619">
        <v>4614.58</v>
      </c>
      <c r="G619">
        <v>953.23</v>
      </c>
    </row>
    <row r="620" spans="1:7" x14ac:dyDescent="0.35">
      <c r="A620" t="s">
        <v>1112</v>
      </c>
      <c r="B620" s="1" t="s">
        <v>1113</v>
      </c>
      <c r="C620" s="2">
        <f t="shared" si="9"/>
        <v>43220</v>
      </c>
      <c r="D620" t="s">
        <v>12</v>
      </c>
      <c r="E620" t="s">
        <v>25</v>
      </c>
      <c r="F620">
        <v>3236.66</v>
      </c>
      <c r="G620">
        <v>864.93</v>
      </c>
    </row>
    <row r="621" spans="1:7" x14ac:dyDescent="0.35">
      <c r="A621" t="s">
        <v>1114</v>
      </c>
      <c r="B621" s="1" t="s">
        <v>1115</v>
      </c>
      <c r="C621" s="2">
        <f t="shared" si="9"/>
        <v>42766</v>
      </c>
      <c r="D621" t="s">
        <v>37</v>
      </c>
      <c r="E621" t="s">
        <v>25</v>
      </c>
      <c r="F621">
        <v>3942.51</v>
      </c>
      <c r="G621">
        <v>348.45</v>
      </c>
    </row>
    <row r="622" spans="1:7" x14ac:dyDescent="0.35">
      <c r="A622" t="s">
        <v>1116</v>
      </c>
      <c r="B622" s="1" t="s">
        <v>462</v>
      </c>
      <c r="C622" s="2">
        <f t="shared" si="9"/>
        <v>42551</v>
      </c>
      <c r="D622" t="s">
        <v>12</v>
      </c>
      <c r="E622" t="s">
        <v>9</v>
      </c>
      <c r="F622">
        <v>757.31</v>
      </c>
      <c r="G622">
        <v>137.06</v>
      </c>
    </row>
    <row r="623" spans="1:7" x14ac:dyDescent="0.35">
      <c r="A623" t="s">
        <v>1117</v>
      </c>
      <c r="B623" s="1" t="s">
        <v>809</v>
      </c>
      <c r="C623" s="2">
        <f t="shared" si="9"/>
        <v>42674</v>
      </c>
      <c r="D623" t="s">
        <v>16</v>
      </c>
      <c r="E623" t="s">
        <v>13</v>
      </c>
      <c r="F623">
        <v>1867.17</v>
      </c>
      <c r="G623">
        <v>280.79000000000002</v>
      </c>
    </row>
    <row r="624" spans="1:7" x14ac:dyDescent="0.35">
      <c r="A624" t="s">
        <v>1118</v>
      </c>
      <c r="B624" s="1" t="s">
        <v>959</v>
      </c>
      <c r="C624" s="2">
        <f t="shared" si="9"/>
        <v>42582</v>
      </c>
      <c r="D624" t="s">
        <v>8</v>
      </c>
      <c r="E624" t="s">
        <v>25</v>
      </c>
      <c r="F624">
        <v>4272.1899999999996</v>
      </c>
      <c r="G624">
        <v>1155.76</v>
      </c>
    </row>
    <row r="625" spans="1:7" x14ac:dyDescent="0.35">
      <c r="A625" t="s">
        <v>1119</v>
      </c>
      <c r="B625" s="1" t="s">
        <v>1120</v>
      </c>
      <c r="C625" s="2">
        <f t="shared" si="9"/>
        <v>42521</v>
      </c>
      <c r="D625" t="s">
        <v>16</v>
      </c>
      <c r="E625" t="s">
        <v>9</v>
      </c>
      <c r="F625">
        <v>4090.41</v>
      </c>
      <c r="G625">
        <v>1085.25</v>
      </c>
    </row>
    <row r="626" spans="1:7" x14ac:dyDescent="0.35">
      <c r="A626" t="s">
        <v>1121</v>
      </c>
      <c r="B626" s="1" t="s">
        <v>1122</v>
      </c>
      <c r="C626" s="2">
        <f t="shared" si="9"/>
        <v>43100</v>
      </c>
      <c r="D626" t="s">
        <v>37</v>
      </c>
      <c r="E626" t="s">
        <v>13</v>
      </c>
      <c r="F626">
        <v>773.32</v>
      </c>
      <c r="G626">
        <v>216.45</v>
      </c>
    </row>
    <row r="627" spans="1:7" x14ac:dyDescent="0.35">
      <c r="A627" t="s">
        <v>1123</v>
      </c>
      <c r="B627" s="1" t="s">
        <v>1124</v>
      </c>
      <c r="C627" s="2">
        <f t="shared" si="9"/>
        <v>43343</v>
      </c>
      <c r="D627" t="s">
        <v>12</v>
      </c>
      <c r="E627" t="s">
        <v>9</v>
      </c>
      <c r="F627">
        <v>4595.7700000000004</v>
      </c>
      <c r="G627">
        <v>682</v>
      </c>
    </row>
    <row r="628" spans="1:7" x14ac:dyDescent="0.35">
      <c r="A628" t="s">
        <v>1125</v>
      </c>
      <c r="B628" s="1" t="s">
        <v>1126</v>
      </c>
      <c r="C628" s="2">
        <f t="shared" si="9"/>
        <v>43220</v>
      </c>
      <c r="D628" t="s">
        <v>12</v>
      </c>
      <c r="E628" t="s">
        <v>9</v>
      </c>
      <c r="F628">
        <v>1479.74</v>
      </c>
      <c r="G628">
        <v>232.61</v>
      </c>
    </row>
    <row r="629" spans="1:7" x14ac:dyDescent="0.35">
      <c r="A629" t="s">
        <v>1127</v>
      </c>
      <c r="B629" s="1" t="s">
        <v>377</v>
      </c>
      <c r="C629" s="2">
        <f t="shared" si="9"/>
        <v>42704</v>
      </c>
      <c r="D629" t="s">
        <v>16</v>
      </c>
      <c r="E629" t="s">
        <v>13</v>
      </c>
      <c r="F629">
        <v>1907.4</v>
      </c>
      <c r="G629">
        <v>144.38999999999999</v>
      </c>
    </row>
    <row r="630" spans="1:7" x14ac:dyDescent="0.35">
      <c r="A630" t="s">
        <v>1128</v>
      </c>
      <c r="B630" s="1" t="s">
        <v>1129</v>
      </c>
      <c r="C630" s="2">
        <f t="shared" si="9"/>
        <v>42766</v>
      </c>
      <c r="D630" t="s">
        <v>37</v>
      </c>
      <c r="E630" t="s">
        <v>25</v>
      </c>
      <c r="F630">
        <v>2878.48</v>
      </c>
      <c r="G630">
        <v>706.95</v>
      </c>
    </row>
    <row r="631" spans="1:7" x14ac:dyDescent="0.35">
      <c r="A631" t="s">
        <v>1130</v>
      </c>
      <c r="B631" s="1" t="s">
        <v>1131</v>
      </c>
      <c r="C631" s="2">
        <f t="shared" si="9"/>
        <v>42429</v>
      </c>
      <c r="D631" t="s">
        <v>16</v>
      </c>
      <c r="E631" t="s">
        <v>13</v>
      </c>
      <c r="F631">
        <v>3216.6</v>
      </c>
      <c r="G631">
        <v>582.26</v>
      </c>
    </row>
    <row r="632" spans="1:7" x14ac:dyDescent="0.35">
      <c r="A632" t="s">
        <v>1132</v>
      </c>
      <c r="B632" s="1" t="s">
        <v>1133</v>
      </c>
      <c r="C632" s="2">
        <f t="shared" si="9"/>
        <v>42643</v>
      </c>
      <c r="D632" t="s">
        <v>37</v>
      </c>
      <c r="E632" t="s">
        <v>13</v>
      </c>
      <c r="F632">
        <v>4522.3999999999996</v>
      </c>
      <c r="G632">
        <v>738.04</v>
      </c>
    </row>
    <row r="633" spans="1:7" x14ac:dyDescent="0.35">
      <c r="A633" t="s">
        <v>1134</v>
      </c>
      <c r="B633" s="1" t="s">
        <v>1135</v>
      </c>
      <c r="C633" s="2">
        <f t="shared" si="9"/>
        <v>42825</v>
      </c>
      <c r="D633" t="s">
        <v>12</v>
      </c>
      <c r="E633" t="s">
        <v>13</v>
      </c>
      <c r="F633">
        <v>2787.09</v>
      </c>
      <c r="G633">
        <v>390.77</v>
      </c>
    </row>
    <row r="634" spans="1:7" x14ac:dyDescent="0.35">
      <c r="A634" t="s">
        <v>1136</v>
      </c>
      <c r="B634" s="1" t="s">
        <v>1047</v>
      </c>
      <c r="C634" s="2">
        <f t="shared" si="9"/>
        <v>42582</v>
      </c>
      <c r="D634" t="s">
        <v>8</v>
      </c>
      <c r="E634" t="s">
        <v>25</v>
      </c>
      <c r="F634">
        <v>3833.65</v>
      </c>
      <c r="G634">
        <v>851.58</v>
      </c>
    </row>
    <row r="635" spans="1:7" x14ac:dyDescent="0.35">
      <c r="A635" t="s">
        <v>1137</v>
      </c>
      <c r="B635" s="1" t="s">
        <v>901</v>
      </c>
      <c r="C635" s="2">
        <f t="shared" si="9"/>
        <v>42825</v>
      </c>
      <c r="D635" t="s">
        <v>37</v>
      </c>
      <c r="E635" t="s">
        <v>9</v>
      </c>
      <c r="F635">
        <v>2687.86</v>
      </c>
      <c r="G635">
        <v>448.24</v>
      </c>
    </row>
    <row r="636" spans="1:7" x14ac:dyDescent="0.35">
      <c r="A636" t="s">
        <v>1138</v>
      </c>
      <c r="B636" s="1" t="s">
        <v>1139</v>
      </c>
      <c r="C636" s="2">
        <f t="shared" si="9"/>
        <v>42582</v>
      </c>
      <c r="D636" t="s">
        <v>37</v>
      </c>
      <c r="E636" t="s">
        <v>9</v>
      </c>
      <c r="F636">
        <v>3304.7</v>
      </c>
      <c r="G636">
        <v>282</v>
      </c>
    </row>
    <row r="637" spans="1:7" x14ac:dyDescent="0.35">
      <c r="A637" t="s">
        <v>1140</v>
      </c>
      <c r="B637" s="1" t="s">
        <v>521</v>
      </c>
      <c r="C637" s="2">
        <f t="shared" si="9"/>
        <v>42978</v>
      </c>
      <c r="D637" t="s">
        <v>37</v>
      </c>
      <c r="E637" t="s">
        <v>25</v>
      </c>
      <c r="F637">
        <v>4408.78</v>
      </c>
      <c r="G637">
        <v>1290.8900000000001</v>
      </c>
    </row>
    <row r="638" spans="1:7" x14ac:dyDescent="0.35">
      <c r="A638" t="s">
        <v>1141</v>
      </c>
      <c r="B638" s="1" t="s">
        <v>1088</v>
      </c>
      <c r="C638" s="2">
        <f t="shared" si="9"/>
        <v>42735</v>
      </c>
      <c r="D638" t="s">
        <v>12</v>
      </c>
      <c r="E638" t="s">
        <v>13</v>
      </c>
      <c r="F638">
        <v>4501.3500000000004</v>
      </c>
      <c r="G638">
        <v>953.91</v>
      </c>
    </row>
    <row r="639" spans="1:7" x14ac:dyDescent="0.35">
      <c r="A639" t="s">
        <v>1142</v>
      </c>
      <c r="B639" s="1" t="s">
        <v>529</v>
      </c>
      <c r="C639" s="2">
        <f t="shared" si="9"/>
        <v>43100</v>
      </c>
      <c r="D639" t="s">
        <v>8</v>
      </c>
      <c r="E639" t="s">
        <v>13</v>
      </c>
      <c r="F639">
        <v>2219.48</v>
      </c>
      <c r="G639">
        <v>661.61</v>
      </c>
    </row>
    <row r="640" spans="1:7" x14ac:dyDescent="0.35">
      <c r="A640" t="s">
        <v>1143</v>
      </c>
      <c r="B640" s="1" t="s">
        <v>602</v>
      </c>
      <c r="C640" s="2">
        <f t="shared" si="9"/>
        <v>42794</v>
      </c>
      <c r="D640" t="s">
        <v>12</v>
      </c>
      <c r="E640" t="s">
        <v>9</v>
      </c>
      <c r="F640">
        <v>4037.6</v>
      </c>
      <c r="G640">
        <v>590.79</v>
      </c>
    </row>
    <row r="641" spans="1:7" x14ac:dyDescent="0.35">
      <c r="A641" t="s">
        <v>1144</v>
      </c>
      <c r="B641" s="1" t="s">
        <v>734</v>
      </c>
      <c r="C641" s="2">
        <f t="shared" si="9"/>
        <v>42766</v>
      </c>
      <c r="D641" t="s">
        <v>16</v>
      </c>
      <c r="E641" t="s">
        <v>25</v>
      </c>
      <c r="F641">
        <v>3852.72</v>
      </c>
      <c r="G641">
        <v>706.03</v>
      </c>
    </row>
    <row r="642" spans="1:7" x14ac:dyDescent="0.35">
      <c r="A642" t="s">
        <v>1145</v>
      </c>
      <c r="B642" s="1" t="s">
        <v>1146</v>
      </c>
      <c r="C642" s="2">
        <f t="shared" si="9"/>
        <v>42460</v>
      </c>
      <c r="D642" t="s">
        <v>16</v>
      </c>
      <c r="E642" t="s">
        <v>13</v>
      </c>
      <c r="F642">
        <v>1167</v>
      </c>
      <c r="G642">
        <v>188.34</v>
      </c>
    </row>
    <row r="643" spans="1:7" x14ac:dyDescent="0.35">
      <c r="A643" t="s">
        <v>1147</v>
      </c>
      <c r="B643" s="1" t="s">
        <v>749</v>
      </c>
      <c r="C643" s="2">
        <f t="shared" ref="C643:C706" si="10">EOMONTH(B643,0)</f>
        <v>43312</v>
      </c>
      <c r="D643" t="s">
        <v>16</v>
      </c>
      <c r="E643" t="s">
        <v>9</v>
      </c>
      <c r="F643">
        <v>604.21</v>
      </c>
      <c r="G643">
        <v>38.82</v>
      </c>
    </row>
    <row r="644" spans="1:7" x14ac:dyDescent="0.35">
      <c r="A644" t="s">
        <v>1148</v>
      </c>
      <c r="B644" s="1" t="s">
        <v>1149</v>
      </c>
      <c r="C644" s="2">
        <f t="shared" si="10"/>
        <v>42735</v>
      </c>
      <c r="D644" t="s">
        <v>12</v>
      </c>
      <c r="E644" t="s">
        <v>25</v>
      </c>
      <c r="F644">
        <v>2900.97</v>
      </c>
      <c r="G644">
        <v>503.59</v>
      </c>
    </row>
    <row r="645" spans="1:7" x14ac:dyDescent="0.35">
      <c r="A645" t="s">
        <v>1150</v>
      </c>
      <c r="B645" s="1" t="s">
        <v>870</v>
      </c>
      <c r="C645" s="2">
        <f t="shared" si="10"/>
        <v>42916</v>
      </c>
      <c r="D645" t="s">
        <v>8</v>
      </c>
      <c r="E645" t="s">
        <v>25</v>
      </c>
      <c r="F645">
        <v>3150.7</v>
      </c>
      <c r="G645">
        <v>657.11</v>
      </c>
    </row>
    <row r="646" spans="1:7" x14ac:dyDescent="0.35">
      <c r="A646" t="s">
        <v>1151</v>
      </c>
      <c r="B646" s="1" t="s">
        <v>1152</v>
      </c>
      <c r="C646" s="2">
        <f t="shared" si="10"/>
        <v>43069</v>
      </c>
      <c r="D646" t="s">
        <v>16</v>
      </c>
      <c r="E646" t="s">
        <v>9</v>
      </c>
      <c r="F646">
        <v>2402.2800000000002</v>
      </c>
      <c r="G646">
        <v>370.19</v>
      </c>
    </row>
    <row r="647" spans="1:7" x14ac:dyDescent="0.35">
      <c r="A647" t="s">
        <v>1153</v>
      </c>
      <c r="B647" s="1" t="s">
        <v>1078</v>
      </c>
      <c r="C647" s="2">
        <f t="shared" si="10"/>
        <v>42766</v>
      </c>
      <c r="D647" t="s">
        <v>16</v>
      </c>
      <c r="E647" t="s">
        <v>25</v>
      </c>
      <c r="F647">
        <v>3174.99</v>
      </c>
      <c r="G647">
        <v>242.99</v>
      </c>
    </row>
    <row r="648" spans="1:7" x14ac:dyDescent="0.35">
      <c r="A648" t="s">
        <v>1154</v>
      </c>
      <c r="B648" s="1" t="s">
        <v>604</v>
      </c>
      <c r="C648" s="2">
        <f t="shared" si="10"/>
        <v>43251</v>
      </c>
      <c r="D648" t="s">
        <v>8</v>
      </c>
      <c r="E648" t="s">
        <v>25</v>
      </c>
      <c r="F648">
        <v>4798.1400000000003</v>
      </c>
      <c r="G648">
        <v>581.5</v>
      </c>
    </row>
    <row r="649" spans="1:7" x14ac:dyDescent="0.35">
      <c r="A649" t="s">
        <v>1155</v>
      </c>
      <c r="B649" s="1" t="s">
        <v>92</v>
      </c>
      <c r="C649" s="2">
        <f t="shared" si="10"/>
        <v>42735</v>
      </c>
      <c r="D649" t="s">
        <v>12</v>
      </c>
      <c r="E649" t="s">
        <v>25</v>
      </c>
      <c r="F649">
        <v>2915.47</v>
      </c>
      <c r="G649">
        <v>247.77</v>
      </c>
    </row>
    <row r="650" spans="1:7" x14ac:dyDescent="0.35">
      <c r="A650" t="s">
        <v>1156</v>
      </c>
      <c r="B650" s="1" t="s">
        <v>1146</v>
      </c>
      <c r="C650" s="2">
        <f t="shared" si="10"/>
        <v>42460</v>
      </c>
      <c r="D650" t="s">
        <v>16</v>
      </c>
      <c r="E650" t="s">
        <v>25</v>
      </c>
      <c r="F650">
        <v>1147.7</v>
      </c>
      <c r="G650">
        <v>325.16000000000003</v>
      </c>
    </row>
    <row r="651" spans="1:7" x14ac:dyDescent="0.35">
      <c r="A651" t="s">
        <v>1157</v>
      </c>
      <c r="B651" s="1" t="s">
        <v>1158</v>
      </c>
      <c r="C651" s="2">
        <f t="shared" si="10"/>
        <v>42766</v>
      </c>
      <c r="D651" t="s">
        <v>8</v>
      </c>
      <c r="E651" t="s">
        <v>9</v>
      </c>
      <c r="F651">
        <v>1711.26</v>
      </c>
      <c r="G651">
        <v>436.3</v>
      </c>
    </row>
    <row r="652" spans="1:7" x14ac:dyDescent="0.35">
      <c r="A652" t="s">
        <v>1159</v>
      </c>
      <c r="B652" s="1" t="s">
        <v>496</v>
      </c>
      <c r="C652" s="2">
        <f t="shared" si="10"/>
        <v>42551</v>
      </c>
      <c r="D652" t="s">
        <v>16</v>
      </c>
      <c r="E652" t="s">
        <v>9</v>
      </c>
      <c r="F652">
        <v>4658.24</v>
      </c>
      <c r="G652">
        <v>729.92</v>
      </c>
    </row>
    <row r="653" spans="1:7" x14ac:dyDescent="0.35">
      <c r="A653" t="s">
        <v>1160</v>
      </c>
      <c r="B653" s="1" t="s">
        <v>1084</v>
      </c>
      <c r="C653" s="2">
        <f t="shared" si="10"/>
        <v>42674</v>
      </c>
      <c r="D653" t="s">
        <v>16</v>
      </c>
      <c r="E653" t="s">
        <v>13</v>
      </c>
      <c r="F653">
        <v>338.85</v>
      </c>
      <c r="G653">
        <v>68.02</v>
      </c>
    </row>
    <row r="654" spans="1:7" x14ac:dyDescent="0.35">
      <c r="A654" t="s">
        <v>1161</v>
      </c>
      <c r="B654" s="1" t="s">
        <v>721</v>
      </c>
      <c r="C654" s="2">
        <f t="shared" si="10"/>
        <v>42429</v>
      </c>
      <c r="D654" t="s">
        <v>37</v>
      </c>
      <c r="E654" t="s">
        <v>13</v>
      </c>
      <c r="F654">
        <v>3082.89</v>
      </c>
      <c r="G654">
        <v>897.16</v>
      </c>
    </row>
    <row r="655" spans="1:7" x14ac:dyDescent="0.35">
      <c r="A655" t="s">
        <v>1162</v>
      </c>
      <c r="B655" s="1" t="s">
        <v>1163</v>
      </c>
      <c r="C655" s="2">
        <f t="shared" si="10"/>
        <v>43343</v>
      </c>
      <c r="D655" t="s">
        <v>8</v>
      </c>
      <c r="E655" t="s">
        <v>25</v>
      </c>
      <c r="F655">
        <v>3634.04</v>
      </c>
      <c r="G655">
        <v>1067.3599999999999</v>
      </c>
    </row>
    <row r="656" spans="1:7" x14ac:dyDescent="0.35">
      <c r="A656" t="s">
        <v>1164</v>
      </c>
      <c r="B656" s="1" t="s">
        <v>1035</v>
      </c>
      <c r="C656" s="2">
        <f t="shared" si="10"/>
        <v>42766</v>
      </c>
      <c r="D656" t="s">
        <v>12</v>
      </c>
      <c r="E656" t="s">
        <v>25</v>
      </c>
      <c r="F656">
        <v>2809.84</v>
      </c>
      <c r="G656">
        <v>414.26</v>
      </c>
    </row>
    <row r="657" spans="1:7" x14ac:dyDescent="0.35">
      <c r="A657" t="s">
        <v>1165</v>
      </c>
      <c r="B657" s="1" t="s">
        <v>1012</v>
      </c>
      <c r="C657" s="2">
        <f t="shared" si="10"/>
        <v>42429</v>
      </c>
      <c r="D657" t="s">
        <v>12</v>
      </c>
      <c r="E657" t="s">
        <v>25</v>
      </c>
      <c r="F657">
        <v>1280.3800000000001</v>
      </c>
      <c r="G657">
        <v>321.74</v>
      </c>
    </row>
    <row r="658" spans="1:7" x14ac:dyDescent="0.35">
      <c r="A658" t="s">
        <v>1166</v>
      </c>
      <c r="B658" s="1" t="s">
        <v>1167</v>
      </c>
      <c r="C658" s="2">
        <f t="shared" si="10"/>
        <v>42582</v>
      </c>
      <c r="D658" t="s">
        <v>12</v>
      </c>
      <c r="E658" t="s">
        <v>13</v>
      </c>
      <c r="F658">
        <v>4844.8</v>
      </c>
      <c r="G658">
        <v>813.06</v>
      </c>
    </row>
    <row r="659" spans="1:7" x14ac:dyDescent="0.35">
      <c r="A659" t="s">
        <v>1168</v>
      </c>
      <c r="B659" s="1" t="s">
        <v>1169</v>
      </c>
      <c r="C659" s="2">
        <f t="shared" si="10"/>
        <v>42400</v>
      </c>
      <c r="D659" t="s">
        <v>16</v>
      </c>
      <c r="E659" t="s">
        <v>13</v>
      </c>
      <c r="F659">
        <v>3843.21</v>
      </c>
      <c r="G659">
        <v>224.28</v>
      </c>
    </row>
    <row r="660" spans="1:7" x14ac:dyDescent="0.35">
      <c r="A660" t="s">
        <v>1170</v>
      </c>
      <c r="B660" s="1" t="s">
        <v>1171</v>
      </c>
      <c r="C660" s="2">
        <f t="shared" si="10"/>
        <v>43100</v>
      </c>
      <c r="D660" t="s">
        <v>8</v>
      </c>
      <c r="E660" t="s">
        <v>25</v>
      </c>
      <c r="F660">
        <v>362.91</v>
      </c>
      <c r="G660">
        <v>96.53</v>
      </c>
    </row>
    <row r="661" spans="1:7" x14ac:dyDescent="0.35">
      <c r="A661" t="s">
        <v>1172</v>
      </c>
      <c r="B661" s="1" t="s">
        <v>157</v>
      </c>
      <c r="C661" s="2">
        <f t="shared" si="10"/>
        <v>43190</v>
      </c>
      <c r="D661" t="s">
        <v>12</v>
      </c>
      <c r="E661" t="s">
        <v>9</v>
      </c>
      <c r="F661">
        <v>1238.94</v>
      </c>
      <c r="G661">
        <v>293.45</v>
      </c>
    </row>
    <row r="662" spans="1:7" x14ac:dyDescent="0.35">
      <c r="A662" t="s">
        <v>1173</v>
      </c>
      <c r="B662" s="1" t="s">
        <v>1174</v>
      </c>
      <c r="C662" s="2">
        <f t="shared" si="10"/>
        <v>43100</v>
      </c>
      <c r="D662" t="s">
        <v>8</v>
      </c>
      <c r="E662" t="s">
        <v>13</v>
      </c>
      <c r="F662">
        <v>3452.19</v>
      </c>
      <c r="G662">
        <v>953.87</v>
      </c>
    </row>
    <row r="663" spans="1:7" x14ac:dyDescent="0.35">
      <c r="A663" t="s">
        <v>1175</v>
      </c>
      <c r="B663" s="1" t="s">
        <v>453</v>
      </c>
      <c r="C663" s="2">
        <f t="shared" si="10"/>
        <v>42704</v>
      </c>
      <c r="D663" t="s">
        <v>12</v>
      </c>
      <c r="E663" t="s">
        <v>25</v>
      </c>
      <c r="F663">
        <v>2626.96</v>
      </c>
      <c r="G663">
        <v>740.49</v>
      </c>
    </row>
    <row r="664" spans="1:7" x14ac:dyDescent="0.35">
      <c r="A664" t="s">
        <v>1176</v>
      </c>
      <c r="B664" s="1" t="s">
        <v>1177</v>
      </c>
      <c r="C664" s="2">
        <f t="shared" si="10"/>
        <v>42886</v>
      </c>
      <c r="D664" t="s">
        <v>37</v>
      </c>
      <c r="E664" t="s">
        <v>25</v>
      </c>
      <c r="F664">
        <v>3385.79</v>
      </c>
      <c r="G664">
        <v>968.92</v>
      </c>
    </row>
    <row r="665" spans="1:7" x14ac:dyDescent="0.35">
      <c r="A665" t="s">
        <v>1178</v>
      </c>
      <c r="B665" s="1" t="s">
        <v>1179</v>
      </c>
      <c r="C665" s="2">
        <f t="shared" si="10"/>
        <v>42766</v>
      </c>
      <c r="D665" t="s">
        <v>12</v>
      </c>
      <c r="E665" t="s">
        <v>25</v>
      </c>
      <c r="F665">
        <v>3666.15</v>
      </c>
      <c r="G665">
        <v>252.8</v>
      </c>
    </row>
    <row r="666" spans="1:7" x14ac:dyDescent="0.35">
      <c r="A666" t="s">
        <v>1180</v>
      </c>
      <c r="B666" s="1" t="s">
        <v>276</v>
      </c>
      <c r="C666" s="2">
        <f t="shared" si="10"/>
        <v>42947</v>
      </c>
      <c r="D666" t="s">
        <v>12</v>
      </c>
      <c r="E666" t="s">
        <v>25</v>
      </c>
      <c r="F666">
        <v>3818.37</v>
      </c>
      <c r="G666">
        <v>479.68</v>
      </c>
    </row>
    <row r="667" spans="1:7" x14ac:dyDescent="0.35">
      <c r="A667" t="s">
        <v>1181</v>
      </c>
      <c r="B667" s="1" t="s">
        <v>421</v>
      </c>
      <c r="C667" s="2">
        <f t="shared" si="10"/>
        <v>43251</v>
      </c>
      <c r="D667" t="s">
        <v>16</v>
      </c>
      <c r="E667" t="s">
        <v>25</v>
      </c>
      <c r="F667">
        <v>2191.41</v>
      </c>
      <c r="G667">
        <v>334.38</v>
      </c>
    </row>
    <row r="668" spans="1:7" x14ac:dyDescent="0.35">
      <c r="A668" t="s">
        <v>1182</v>
      </c>
      <c r="B668" s="1" t="s">
        <v>573</v>
      </c>
      <c r="C668" s="2">
        <f t="shared" si="10"/>
        <v>43343</v>
      </c>
      <c r="D668" t="s">
        <v>37</v>
      </c>
      <c r="E668" t="s">
        <v>25</v>
      </c>
      <c r="F668">
        <v>4478.78</v>
      </c>
      <c r="G668">
        <v>978.19</v>
      </c>
    </row>
    <row r="669" spans="1:7" x14ac:dyDescent="0.35">
      <c r="A669" t="s">
        <v>1183</v>
      </c>
      <c r="B669" s="1" t="s">
        <v>1184</v>
      </c>
      <c r="C669" s="2">
        <f t="shared" si="10"/>
        <v>43190</v>
      </c>
      <c r="D669" t="s">
        <v>37</v>
      </c>
      <c r="E669" t="s">
        <v>13</v>
      </c>
      <c r="F669">
        <v>1572.69</v>
      </c>
      <c r="G669">
        <v>317.29000000000002</v>
      </c>
    </row>
    <row r="670" spans="1:7" x14ac:dyDescent="0.35">
      <c r="A670" t="s">
        <v>1185</v>
      </c>
      <c r="B670" s="1" t="s">
        <v>1086</v>
      </c>
      <c r="C670" s="2">
        <f t="shared" si="10"/>
        <v>43069</v>
      </c>
      <c r="D670" t="s">
        <v>16</v>
      </c>
      <c r="E670" t="s">
        <v>9</v>
      </c>
      <c r="F670">
        <v>3147.8</v>
      </c>
      <c r="G670">
        <v>419.35</v>
      </c>
    </row>
    <row r="671" spans="1:7" x14ac:dyDescent="0.35">
      <c r="A671" t="s">
        <v>1186</v>
      </c>
      <c r="B671" s="1" t="s">
        <v>1187</v>
      </c>
      <c r="C671" s="2">
        <f t="shared" si="10"/>
        <v>42825</v>
      </c>
      <c r="D671" t="s">
        <v>16</v>
      </c>
      <c r="E671" t="s">
        <v>25</v>
      </c>
      <c r="F671">
        <v>3723.21</v>
      </c>
      <c r="G671">
        <v>224.7</v>
      </c>
    </row>
    <row r="672" spans="1:7" x14ac:dyDescent="0.35">
      <c r="A672" t="s">
        <v>1188</v>
      </c>
      <c r="B672" s="1" t="s">
        <v>1189</v>
      </c>
      <c r="C672" s="2">
        <f t="shared" si="10"/>
        <v>43220</v>
      </c>
      <c r="D672" t="s">
        <v>12</v>
      </c>
      <c r="E672" t="s">
        <v>13</v>
      </c>
      <c r="F672">
        <v>1637.31</v>
      </c>
      <c r="G672">
        <v>138.54</v>
      </c>
    </row>
    <row r="673" spans="1:7" x14ac:dyDescent="0.35">
      <c r="A673" t="s">
        <v>1190</v>
      </c>
      <c r="B673" s="1" t="s">
        <v>1191</v>
      </c>
      <c r="C673" s="2">
        <f t="shared" si="10"/>
        <v>42947</v>
      </c>
      <c r="D673" t="s">
        <v>8</v>
      </c>
      <c r="E673" t="s">
        <v>25</v>
      </c>
      <c r="F673">
        <v>2266.5700000000002</v>
      </c>
      <c r="G673">
        <v>279.27999999999997</v>
      </c>
    </row>
    <row r="674" spans="1:7" x14ac:dyDescent="0.35">
      <c r="A674" t="s">
        <v>1192</v>
      </c>
      <c r="B674" s="1" t="s">
        <v>1193</v>
      </c>
      <c r="C674" s="2">
        <f t="shared" si="10"/>
        <v>43131</v>
      </c>
      <c r="D674" t="s">
        <v>16</v>
      </c>
      <c r="E674" t="s">
        <v>9</v>
      </c>
      <c r="F674">
        <v>2799.46</v>
      </c>
      <c r="G674">
        <v>209.71</v>
      </c>
    </row>
    <row r="675" spans="1:7" x14ac:dyDescent="0.35">
      <c r="A675" t="s">
        <v>1194</v>
      </c>
      <c r="B675" s="1" t="s">
        <v>1195</v>
      </c>
      <c r="C675" s="2">
        <f t="shared" si="10"/>
        <v>42916</v>
      </c>
      <c r="D675" t="s">
        <v>12</v>
      </c>
      <c r="E675" t="s">
        <v>25</v>
      </c>
      <c r="F675">
        <v>683.26</v>
      </c>
      <c r="G675">
        <v>61.51</v>
      </c>
    </row>
    <row r="676" spans="1:7" x14ac:dyDescent="0.35">
      <c r="A676" t="s">
        <v>1196</v>
      </c>
      <c r="B676" s="1" t="s">
        <v>1197</v>
      </c>
      <c r="C676" s="2">
        <f t="shared" si="10"/>
        <v>43159</v>
      </c>
      <c r="D676" t="s">
        <v>37</v>
      </c>
      <c r="E676" t="s">
        <v>13</v>
      </c>
      <c r="F676">
        <v>701.61</v>
      </c>
      <c r="G676">
        <v>146.16999999999999</v>
      </c>
    </row>
    <row r="677" spans="1:7" x14ac:dyDescent="0.35">
      <c r="A677" t="s">
        <v>1198</v>
      </c>
      <c r="B677" s="1" t="s">
        <v>226</v>
      </c>
      <c r="C677" s="2">
        <f t="shared" si="10"/>
        <v>43220</v>
      </c>
      <c r="D677" t="s">
        <v>37</v>
      </c>
      <c r="E677" t="s">
        <v>13</v>
      </c>
      <c r="F677">
        <v>766.09</v>
      </c>
      <c r="G677">
        <v>187.61</v>
      </c>
    </row>
    <row r="678" spans="1:7" x14ac:dyDescent="0.35">
      <c r="A678" t="s">
        <v>1199</v>
      </c>
      <c r="B678" s="1" t="s">
        <v>1200</v>
      </c>
      <c r="C678" s="2">
        <f t="shared" si="10"/>
        <v>43069</v>
      </c>
      <c r="D678" t="s">
        <v>8</v>
      </c>
      <c r="E678" t="s">
        <v>13</v>
      </c>
      <c r="F678">
        <v>3096.35</v>
      </c>
      <c r="G678">
        <v>349.18</v>
      </c>
    </row>
    <row r="679" spans="1:7" x14ac:dyDescent="0.35">
      <c r="A679" t="s">
        <v>1201</v>
      </c>
      <c r="B679" s="1" t="s">
        <v>1202</v>
      </c>
      <c r="C679" s="2">
        <f t="shared" si="10"/>
        <v>43190</v>
      </c>
      <c r="D679" t="s">
        <v>12</v>
      </c>
      <c r="E679" t="s">
        <v>25</v>
      </c>
      <c r="F679">
        <v>3830.82</v>
      </c>
      <c r="G679">
        <v>1086.76</v>
      </c>
    </row>
    <row r="680" spans="1:7" x14ac:dyDescent="0.35">
      <c r="A680" t="s">
        <v>1203</v>
      </c>
      <c r="B680" s="1" t="s">
        <v>63</v>
      </c>
      <c r="C680" s="2">
        <f t="shared" si="10"/>
        <v>43131</v>
      </c>
      <c r="D680" t="s">
        <v>16</v>
      </c>
      <c r="E680" t="s">
        <v>9</v>
      </c>
      <c r="F680">
        <v>4675.5200000000004</v>
      </c>
      <c r="G680">
        <v>1318.49</v>
      </c>
    </row>
    <row r="681" spans="1:7" x14ac:dyDescent="0.35">
      <c r="A681" t="s">
        <v>1204</v>
      </c>
      <c r="B681" s="1" t="s">
        <v>1205</v>
      </c>
      <c r="C681" s="2">
        <f t="shared" si="10"/>
        <v>42643</v>
      </c>
      <c r="D681" t="s">
        <v>16</v>
      </c>
      <c r="E681" t="s">
        <v>9</v>
      </c>
      <c r="F681">
        <v>2302.58</v>
      </c>
      <c r="G681">
        <v>123.04</v>
      </c>
    </row>
    <row r="682" spans="1:7" x14ac:dyDescent="0.35">
      <c r="A682" t="s">
        <v>1206</v>
      </c>
      <c r="B682" s="1" t="s">
        <v>436</v>
      </c>
      <c r="C682" s="2">
        <f t="shared" si="10"/>
        <v>43008</v>
      </c>
      <c r="D682" t="s">
        <v>16</v>
      </c>
      <c r="E682" t="s">
        <v>25</v>
      </c>
      <c r="F682">
        <v>1325.45</v>
      </c>
      <c r="G682">
        <v>162.36000000000001</v>
      </c>
    </row>
    <row r="683" spans="1:7" x14ac:dyDescent="0.35">
      <c r="A683" t="s">
        <v>1207</v>
      </c>
      <c r="B683" s="1" t="s">
        <v>1208</v>
      </c>
      <c r="C683" s="2">
        <f t="shared" si="10"/>
        <v>43039</v>
      </c>
      <c r="D683" t="s">
        <v>37</v>
      </c>
      <c r="E683" t="s">
        <v>25</v>
      </c>
      <c r="F683">
        <v>2160.75</v>
      </c>
      <c r="G683">
        <v>152.94999999999999</v>
      </c>
    </row>
    <row r="684" spans="1:7" x14ac:dyDescent="0.35">
      <c r="A684" t="s">
        <v>1209</v>
      </c>
      <c r="B684" s="1" t="s">
        <v>436</v>
      </c>
      <c r="C684" s="2">
        <f t="shared" si="10"/>
        <v>43008</v>
      </c>
      <c r="D684" t="s">
        <v>8</v>
      </c>
      <c r="E684" t="s">
        <v>9</v>
      </c>
      <c r="F684">
        <v>3576.98</v>
      </c>
      <c r="G684">
        <v>660.08</v>
      </c>
    </row>
    <row r="685" spans="1:7" x14ac:dyDescent="0.35">
      <c r="A685" t="s">
        <v>1210</v>
      </c>
      <c r="B685" s="1" t="s">
        <v>315</v>
      </c>
      <c r="C685" s="2">
        <f t="shared" si="10"/>
        <v>42855</v>
      </c>
      <c r="D685" t="s">
        <v>16</v>
      </c>
      <c r="E685" t="s">
        <v>9</v>
      </c>
      <c r="F685">
        <v>189.11</v>
      </c>
      <c r="G685">
        <v>51.65</v>
      </c>
    </row>
    <row r="686" spans="1:7" x14ac:dyDescent="0.35">
      <c r="A686" t="s">
        <v>1211</v>
      </c>
      <c r="B686" s="1" t="s">
        <v>518</v>
      </c>
      <c r="C686" s="2">
        <f t="shared" si="10"/>
        <v>43039</v>
      </c>
      <c r="D686" t="s">
        <v>12</v>
      </c>
      <c r="E686" t="s">
        <v>9</v>
      </c>
      <c r="F686">
        <v>2733.09</v>
      </c>
      <c r="G686">
        <v>633.67999999999995</v>
      </c>
    </row>
    <row r="687" spans="1:7" x14ac:dyDescent="0.35">
      <c r="A687" t="s">
        <v>1212</v>
      </c>
      <c r="B687" s="1" t="s">
        <v>650</v>
      </c>
      <c r="C687" s="2">
        <f t="shared" si="10"/>
        <v>43220</v>
      </c>
      <c r="D687" t="s">
        <v>8</v>
      </c>
      <c r="E687" t="s">
        <v>25</v>
      </c>
      <c r="F687">
        <v>4035.93</v>
      </c>
      <c r="G687">
        <v>506.72</v>
      </c>
    </row>
    <row r="688" spans="1:7" x14ac:dyDescent="0.35">
      <c r="A688" t="s">
        <v>1213</v>
      </c>
      <c r="B688" s="1" t="s">
        <v>1214</v>
      </c>
      <c r="C688" s="2">
        <f t="shared" si="10"/>
        <v>42521</v>
      </c>
      <c r="D688" t="s">
        <v>16</v>
      </c>
      <c r="E688" t="s">
        <v>9</v>
      </c>
      <c r="F688">
        <v>1691.06</v>
      </c>
      <c r="G688">
        <v>490.9</v>
      </c>
    </row>
    <row r="689" spans="1:7" x14ac:dyDescent="0.35">
      <c r="A689" t="s">
        <v>1215</v>
      </c>
      <c r="B689" s="1" t="s">
        <v>712</v>
      </c>
      <c r="C689" s="2">
        <f t="shared" si="10"/>
        <v>43039</v>
      </c>
      <c r="D689" t="s">
        <v>12</v>
      </c>
      <c r="E689" t="s">
        <v>25</v>
      </c>
      <c r="F689">
        <v>4830</v>
      </c>
      <c r="G689">
        <v>738.09</v>
      </c>
    </row>
    <row r="690" spans="1:7" x14ac:dyDescent="0.35">
      <c r="A690" t="s">
        <v>1216</v>
      </c>
      <c r="B690" s="1" t="s">
        <v>918</v>
      </c>
      <c r="C690" s="2">
        <f t="shared" si="10"/>
        <v>42429</v>
      </c>
      <c r="D690" t="s">
        <v>8</v>
      </c>
      <c r="E690" t="s">
        <v>9</v>
      </c>
      <c r="F690">
        <v>2904.79</v>
      </c>
      <c r="G690">
        <v>684.33</v>
      </c>
    </row>
    <row r="691" spans="1:7" x14ac:dyDescent="0.35">
      <c r="A691" t="s">
        <v>1217</v>
      </c>
      <c r="B691" s="1" t="s">
        <v>1218</v>
      </c>
      <c r="C691" s="2">
        <f t="shared" si="10"/>
        <v>43281</v>
      </c>
      <c r="D691" t="s">
        <v>16</v>
      </c>
      <c r="E691" t="s">
        <v>25</v>
      </c>
      <c r="F691">
        <v>1001.81</v>
      </c>
      <c r="G691">
        <v>161.87</v>
      </c>
    </row>
    <row r="692" spans="1:7" x14ac:dyDescent="0.35">
      <c r="A692" t="s">
        <v>1219</v>
      </c>
      <c r="B692" s="1" t="s">
        <v>399</v>
      </c>
      <c r="C692" s="2">
        <f t="shared" si="10"/>
        <v>43100</v>
      </c>
      <c r="D692" t="s">
        <v>8</v>
      </c>
      <c r="E692" t="s">
        <v>9</v>
      </c>
      <c r="F692">
        <v>319.91000000000003</v>
      </c>
      <c r="G692">
        <v>57.58</v>
      </c>
    </row>
    <row r="693" spans="1:7" x14ac:dyDescent="0.35">
      <c r="A693" t="s">
        <v>1220</v>
      </c>
      <c r="B693" s="1" t="s">
        <v>1221</v>
      </c>
      <c r="C693" s="2">
        <f t="shared" si="10"/>
        <v>43281</v>
      </c>
      <c r="D693" t="s">
        <v>37</v>
      </c>
      <c r="E693" t="s">
        <v>25</v>
      </c>
      <c r="F693">
        <v>4299.2700000000004</v>
      </c>
      <c r="G693">
        <v>222.31</v>
      </c>
    </row>
    <row r="694" spans="1:7" x14ac:dyDescent="0.35">
      <c r="A694" t="s">
        <v>1222</v>
      </c>
      <c r="B694" s="1" t="s">
        <v>727</v>
      </c>
      <c r="C694" s="2">
        <f t="shared" si="10"/>
        <v>42794</v>
      </c>
      <c r="D694" t="s">
        <v>37</v>
      </c>
      <c r="E694" t="s">
        <v>25</v>
      </c>
      <c r="F694">
        <v>223.73</v>
      </c>
      <c r="G694">
        <v>37.65</v>
      </c>
    </row>
    <row r="695" spans="1:7" x14ac:dyDescent="0.35">
      <c r="A695" t="s">
        <v>1223</v>
      </c>
      <c r="B695" s="1" t="s">
        <v>725</v>
      </c>
      <c r="C695" s="2">
        <f t="shared" si="10"/>
        <v>42886</v>
      </c>
      <c r="D695" t="s">
        <v>8</v>
      </c>
      <c r="E695" t="s">
        <v>25</v>
      </c>
      <c r="F695">
        <v>3442.69</v>
      </c>
      <c r="G695">
        <v>1009.07</v>
      </c>
    </row>
    <row r="696" spans="1:7" x14ac:dyDescent="0.35">
      <c r="A696" t="s">
        <v>1224</v>
      </c>
      <c r="B696" s="1" t="s">
        <v>195</v>
      </c>
      <c r="C696" s="2">
        <f t="shared" si="10"/>
        <v>42521</v>
      </c>
      <c r="D696" t="s">
        <v>8</v>
      </c>
      <c r="E696" t="s">
        <v>25</v>
      </c>
      <c r="F696">
        <v>1588.62</v>
      </c>
      <c r="G696">
        <v>456.2</v>
      </c>
    </row>
    <row r="697" spans="1:7" x14ac:dyDescent="0.35">
      <c r="A697" t="s">
        <v>1225</v>
      </c>
      <c r="B697" s="1" t="s">
        <v>1226</v>
      </c>
      <c r="C697" s="2">
        <f t="shared" si="10"/>
        <v>43039</v>
      </c>
      <c r="D697" t="s">
        <v>37</v>
      </c>
      <c r="E697" t="s">
        <v>25</v>
      </c>
      <c r="F697">
        <v>2723.8</v>
      </c>
      <c r="G697">
        <v>337.34</v>
      </c>
    </row>
    <row r="698" spans="1:7" x14ac:dyDescent="0.35">
      <c r="A698" t="s">
        <v>1227</v>
      </c>
      <c r="B698" s="1" t="s">
        <v>273</v>
      </c>
      <c r="C698" s="2">
        <f t="shared" si="10"/>
        <v>42735</v>
      </c>
      <c r="D698" t="s">
        <v>12</v>
      </c>
      <c r="E698" t="s">
        <v>13</v>
      </c>
      <c r="F698">
        <v>2928.24</v>
      </c>
      <c r="G698">
        <v>743.5</v>
      </c>
    </row>
    <row r="699" spans="1:7" x14ac:dyDescent="0.35">
      <c r="A699" t="s">
        <v>1228</v>
      </c>
      <c r="B699" s="1" t="s">
        <v>1229</v>
      </c>
      <c r="C699" s="2">
        <f t="shared" si="10"/>
        <v>43069</v>
      </c>
      <c r="D699" t="s">
        <v>12</v>
      </c>
      <c r="E699" t="s">
        <v>9</v>
      </c>
      <c r="F699">
        <v>2268.06</v>
      </c>
      <c r="G699">
        <v>436.57</v>
      </c>
    </row>
    <row r="700" spans="1:7" x14ac:dyDescent="0.35">
      <c r="A700" t="s">
        <v>1230</v>
      </c>
      <c r="B700" s="1" t="s">
        <v>210</v>
      </c>
      <c r="C700" s="2">
        <f t="shared" si="10"/>
        <v>43190</v>
      </c>
      <c r="D700" t="s">
        <v>8</v>
      </c>
      <c r="E700" t="s">
        <v>13</v>
      </c>
      <c r="F700">
        <v>4636.7</v>
      </c>
      <c r="G700">
        <v>1216.04</v>
      </c>
    </row>
    <row r="701" spans="1:7" x14ac:dyDescent="0.35">
      <c r="A701" t="s">
        <v>1231</v>
      </c>
      <c r="B701" s="1" t="s">
        <v>328</v>
      </c>
      <c r="C701" s="2">
        <f t="shared" si="10"/>
        <v>42643</v>
      </c>
      <c r="D701" t="s">
        <v>8</v>
      </c>
      <c r="E701" t="s">
        <v>25</v>
      </c>
      <c r="F701">
        <v>596.28</v>
      </c>
      <c r="G701">
        <v>161.75</v>
      </c>
    </row>
    <row r="702" spans="1:7" x14ac:dyDescent="0.35">
      <c r="A702" t="s">
        <v>1232</v>
      </c>
      <c r="B702" s="1" t="s">
        <v>39</v>
      </c>
      <c r="C702" s="2">
        <f t="shared" si="10"/>
        <v>42978</v>
      </c>
      <c r="D702" t="s">
        <v>12</v>
      </c>
      <c r="E702" t="s">
        <v>25</v>
      </c>
      <c r="F702">
        <v>4281.75</v>
      </c>
      <c r="G702">
        <v>234.1</v>
      </c>
    </row>
    <row r="703" spans="1:7" x14ac:dyDescent="0.35">
      <c r="A703" t="s">
        <v>1233</v>
      </c>
      <c r="B703" s="1" t="s">
        <v>849</v>
      </c>
      <c r="C703" s="2">
        <f t="shared" si="10"/>
        <v>42735</v>
      </c>
      <c r="D703" t="s">
        <v>37</v>
      </c>
      <c r="E703" t="s">
        <v>9</v>
      </c>
      <c r="F703">
        <v>4015.47</v>
      </c>
      <c r="G703">
        <v>800.54</v>
      </c>
    </row>
    <row r="704" spans="1:7" x14ac:dyDescent="0.35">
      <c r="A704" t="s">
        <v>1234</v>
      </c>
      <c r="B704" s="1" t="s">
        <v>1235</v>
      </c>
      <c r="C704" s="2">
        <f t="shared" si="10"/>
        <v>42460</v>
      </c>
      <c r="D704" t="s">
        <v>37</v>
      </c>
      <c r="E704" t="s">
        <v>25</v>
      </c>
      <c r="F704">
        <v>1602.64</v>
      </c>
      <c r="G704">
        <v>218.42</v>
      </c>
    </row>
    <row r="705" spans="1:7" x14ac:dyDescent="0.35">
      <c r="A705" t="s">
        <v>1236</v>
      </c>
      <c r="B705" s="1" t="s">
        <v>375</v>
      </c>
      <c r="C705" s="2">
        <f t="shared" si="10"/>
        <v>42735</v>
      </c>
      <c r="D705" t="s">
        <v>37</v>
      </c>
      <c r="E705" t="s">
        <v>25</v>
      </c>
      <c r="F705">
        <v>2582</v>
      </c>
      <c r="G705">
        <v>554.64</v>
      </c>
    </row>
    <row r="706" spans="1:7" x14ac:dyDescent="0.35">
      <c r="A706" t="s">
        <v>1237</v>
      </c>
      <c r="B706" s="1" t="s">
        <v>1238</v>
      </c>
      <c r="C706" s="2">
        <f t="shared" si="10"/>
        <v>43190</v>
      </c>
      <c r="D706" t="s">
        <v>37</v>
      </c>
      <c r="E706" t="s">
        <v>9</v>
      </c>
      <c r="F706">
        <v>2013.24</v>
      </c>
      <c r="G706">
        <v>240.88</v>
      </c>
    </row>
    <row r="707" spans="1:7" x14ac:dyDescent="0.35">
      <c r="A707" t="s">
        <v>1239</v>
      </c>
      <c r="B707" s="1" t="s">
        <v>1240</v>
      </c>
      <c r="C707" s="2">
        <f t="shared" ref="C707:C770" si="11">EOMONTH(B707,0)</f>
        <v>42947</v>
      </c>
      <c r="D707" t="s">
        <v>8</v>
      </c>
      <c r="E707" t="s">
        <v>9</v>
      </c>
      <c r="F707">
        <v>4208.6099999999997</v>
      </c>
      <c r="G707">
        <v>345.74</v>
      </c>
    </row>
    <row r="708" spans="1:7" x14ac:dyDescent="0.35">
      <c r="A708" t="s">
        <v>1241</v>
      </c>
      <c r="B708" s="1" t="s">
        <v>258</v>
      </c>
      <c r="C708" s="2">
        <f t="shared" si="11"/>
        <v>42916</v>
      </c>
      <c r="D708" t="s">
        <v>16</v>
      </c>
      <c r="E708" t="s">
        <v>13</v>
      </c>
      <c r="F708">
        <v>3051.78</v>
      </c>
      <c r="G708">
        <v>644.80999999999995</v>
      </c>
    </row>
    <row r="709" spans="1:7" x14ac:dyDescent="0.35">
      <c r="A709" t="s">
        <v>1242</v>
      </c>
      <c r="B709" s="1" t="s">
        <v>1243</v>
      </c>
      <c r="C709" s="2">
        <f t="shared" si="11"/>
        <v>43220</v>
      </c>
      <c r="D709" t="s">
        <v>8</v>
      </c>
      <c r="E709" t="s">
        <v>25</v>
      </c>
      <c r="F709">
        <v>712.68</v>
      </c>
      <c r="G709">
        <v>55.52</v>
      </c>
    </row>
    <row r="710" spans="1:7" x14ac:dyDescent="0.35">
      <c r="A710" t="s">
        <v>1244</v>
      </c>
      <c r="B710" s="1" t="s">
        <v>1245</v>
      </c>
      <c r="C710" s="2">
        <f t="shared" si="11"/>
        <v>42916</v>
      </c>
      <c r="D710" t="s">
        <v>37</v>
      </c>
      <c r="E710" t="s">
        <v>13</v>
      </c>
      <c r="F710">
        <v>1493.05</v>
      </c>
      <c r="G710">
        <v>244.42</v>
      </c>
    </row>
    <row r="711" spans="1:7" x14ac:dyDescent="0.35">
      <c r="A711" t="s">
        <v>1246</v>
      </c>
      <c r="B711" s="1" t="s">
        <v>1247</v>
      </c>
      <c r="C711" s="2">
        <f t="shared" si="11"/>
        <v>43251</v>
      </c>
      <c r="D711" t="s">
        <v>37</v>
      </c>
      <c r="E711" t="s">
        <v>13</v>
      </c>
      <c r="F711">
        <v>1105.22</v>
      </c>
      <c r="G711">
        <v>140.16999999999999</v>
      </c>
    </row>
    <row r="712" spans="1:7" x14ac:dyDescent="0.35">
      <c r="A712" t="s">
        <v>1248</v>
      </c>
      <c r="B712" s="1" t="s">
        <v>1249</v>
      </c>
      <c r="C712" s="2">
        <f t="shared" si="11"/>
        <v>43343</v>
      </c>
      <c r="D712" t="s">
        <v>8</v>
      </c>
      <c r="E712" t="s">
        <v>9</v>
      </c>
      <c r="F712">
        <v>335.3</v>
      </c>
      <c r="G712">
        <v>76.64</v>
      </c>
    </row>
    <row r="713" spans="1:7" x14ac:dyDescent="0.35">
      <c r="A713" t="s">
        <v>1250</v>
      </c>
      <c r="B713" s="1" t="s">
        <v>1251</v>
      </c>
      <c r="C713" s="2">
        <f t="shared" si="11"/>
        <v>43190</v>
      </c>
      <c r="D713" t="s">
        <v>12</v>
      </c>
      <c r="E713" t="s">
        <v>25</v>
      </c>
      <c r="F713">
        <v>253.04</v>
      </c>
      <c r="G713">
        <v>50</v>
      </c>
    </row>
    <row r="714" spans="1:7" x14ac:dyDescent="0.35">
      <c r="A714" t="s">
        <v>1252</v>
      </c>
      <c r="B714" s="1" t="s">
        <v>1149</v>
      </c>
      <c r="C714" s="2">
        <f t="shared" si="11"/>
        <v>42735</v>
      </c>
      <c r="D714" t="s">
        <v>37</v>
      </c>
      <c r="E714" t="s">
        <v>9</v>
      </c>
      <c r="F714">
        <v>4868.92</v>
      </c>
      <c r="G714">
        <v>287.75</v>
      </c>
    </row>
    <row r="715" spans="1:7" x14ac:dyDescent="0.35">
      <c r="A715" t="s">
        <v>1253</v>
      </c>
      <c r="B715" s="1" t="s">
        <v>1129</v>
      </c>
      <c r="C715" s="2">
        <f t="shared" si="11"/>
        <v>42766</v>
      </c>
      <c r="D715" t="s">
        <v>8</v>
      </c>
      <c r="E715" t="s">
        <v>13</v>
      </c>
      <c r="F715">
        <v>1839.86</v>
      </c>
      <c r="G715">
        <v>509.89</v>
      </c>
    </row>
    <row r="716" spans="1:7" x14ac:dyDescent="0.35">
      <c r="A716" t="s">
        <v>1254</v>
      </c>
      <c r="B716" s="1" t="s">
        <v>1255</v>
      </c>
      <c r="C716" s="2">
        <f t="shared" si="11"/>
        <v>42947</v>
      </c>
      <c r="D716" t="s">
        <v>37</v>
      </c>
      <c r="E716" t="s">
        <v>9</v>
      </c>
      <c r="F716">
        <v>366.56</v>
      </c>
      <c r="G716">
        <v>77.63</v>
      </c>
    </row>
    <row r="717" spans="1:7" x14ac:dyDescent="0.35">
      <c r="A717" t="s">
        <v>1256</v>
      </c>
      <c r="B717" s="1" t="s">
        <v>447</v>
      </c>
      <c r="C717" s="2">
        <f t="shared" si="11"/>
        <v>42916</v>
      </c>
      <c r="D717" t="s">
        <v>37</v>
      </c>
      <c r="E717" t="s">
        <v>9</v>
      </c>
      <c r="F717">
        <v>1772.19</v>
      </c>
      <c r="G717">
        <v>159.35</v>
      </c>
    </row>
    <row r="718" spans="1:7" x14ac:dyDescent="0.35">
      <c r="A718" t="s">
        <v>1257</v>
      </c>
      <c r="B718" s="1" t="s">
        <v>1258</v>
      </c>
      <c r="C718" s="2">
        <f t="shared" si="11"/>
        <v>42886</v>
      </c>
      <c r="D718" t="s">
        <v>8</v>
      </c>
      <c r="E718" t="s">
        <v>25</v>
      </c>
      <c r="F718">
        <v>448.16</v>
      </c>
      <c r="G718">
        <v>95.56</v>
      </c>
    </row>
    <row r="719" spans="1:7" x14ac:dyDescent="0.35">
      <c r="A719" t="s">
        <v>1259</v>
      </c>
      <c r="B719" s="1" t="s">
        <v>841</v>
      </c>
      <c r="C719" s="2">
        <f t="shared" si="11"/>
        <v>42825</v>
      </c>
      <c r="D719" t="s">
        <v>8</v>
      </c>
      <c r="E719" t="s">
        <v>25</v>
      </c>
      <c r="F719">
        <v>276.61</v>
      </c>
      <c r="G719">
        <v>25.99</v>
      </c>
    </row>
    <row r="720" spans="1:7" x14ac:dyDescent="0.35">
      <c r="A720" t="s">
        <v>1260</v>
      </c>
      <c r="B720" s="1" t="s">
        <v>1261</v>
      </c>
      <c r="C720" s="2">
        <f t="shared" si="11"/>
        <v>43008</v>
      </c>
      <c r="D720" t="s">
        <v>16</v>
      </c>
      <c r="E720" t="s">
        <v>13</v>
      </c>
      <c r="F720">
        <v>3535.43</v>
      </c>
      <c r="G720">
        <v>400.36</v>
      </c>
    </row>
    <row r="721" spans="1:7" x14ac:dyDescent="0.35">
      <c r="A721" t="s">
        <v>1262</v>
      </c>
      <c r="B721" s="1" t="s">
        <v>1263</v>
      </c>
      <c r="C721" s="2">
        <f t="shared" si="11"/>
        <v>42886</v>
      </c>
      <c r="D721" t="s">
        <v>37</v>
      </c>
      <c r="E721" t="s">
        <v>13</v>
      </c>
      <c r="F721">
        <v>3442.52</v>
      </c>
      <c r="G721">
        <v>1006.59</v>
      </c>
    </row>
    <row r="722" spans="1:7" x14ac:dyDescent="0.35">
      <c r="A722" t="s">
        <v>1264</v>
      </c>
      <c r="B722" s="1" t="s">
        <v>1265</v>
      </c>
      <c r="C722" s="2">
        <f t="shared" si="11"/>
        <v>42674</v>
      </c>
      <c r="D722" t="s">
        <v>16</v>
      </c>
      <c r="E722" t="s">
        <v>25</v>
      </c>
      <c r="F722">
        <v>208.18</v>
      </c>
      <c r="G722">
        <v>29.39</v>
      </c>
    </row>
    <row r="723" spans="1:7" x14ac:dyDescent="0.35">
      <c r="A723" t="s">
        <v>1266</v>
      </c>
      <c r="B723" s="1" t="s">
        <v>622</v>
      </c>
      <c r="C723" s="2">
        <f t="shared" si="11"/>
        <v>42613</v>
      </c>
      <c r="D723" t="s">
        <v>12</v>
      </c>
      <c r="E723" t="s">
        <v>25</v>
      </c>
      <c r="F723">
        <v>4000.39</v>
      </c>
      <c r="G723">
        <v>376.28</v>
      </c>
    </row>
    <row r="724" spans="1:7" x14ac:dyDescent="0.35">
      <c r="A724" t="s">
        <v>1267</v>
      </c>
      <c r="B724" s="1" t="s">
        <v>535</v>
      </c>
      <c r="C724" s="2">
        <f t="shared" si="11"/>
        <v>42978</v>
      </c>
      <c r="D724" t="s">
        <v>12</v>
      </c>
      <c r="E724" t="s">
        <v>9</v>
      </c>
      <c r="F724">
        <v>3979.28</v>
      </c>
      <c r="G724">
        <v>700.76</v>
      </c>
    </row>
    <row r="725" spans="1:7" x14ac:dyDescent="0.35">
      <c r="A725" t="s">
        <v>1268</v>
      </c>
      <c r="B725" s="1" t="s">
        <v>1269</v>
      </c>
      <c r="C725" s="2">
        <f t="shared" si="11"/>
        <v>42400</v>
      </c>
      <c r="D725" t="s">
        <v>8</v>
      </c>
      <c r="E725" t="s">
        <v>25</v>
      </c>
      <c r="F725">
        <v>4651.6899999999996</v>
      </c>
      <c r="G725">
        <v>910.05</v>
      </c>
    </row>
    <row r="726" spans="1:7" x14ac:dyDescent="0.35">
      <c r="A726" t="s">
        <v>1270</v>
      </c>
      <c r="B726" s="1" t="s">
        <v>1271</v>
      </c>
      <c r="C726" s="2">
        <f t="shared" si="11"/>
        <v>42916</v>
      </c>
      <c r="D726" t="s">
        <v>8</v>
      </c>
      <c r="E726" t="s">
        <v>25</v>
      </c>
      <c r="F726">
        <v>4440.8500000000004</v>
      </c>
      <c r="G726">
        <v>1286.23</v>
      </c>
    </row>
    <row r="727" spans="1:7" x14ac:dyDescent="0.35">
      <c r="A727" t="s">
        <v>1272</v>
      </c>
      <c r="B727" s="1" t="s">
        <v>453</v>
      </c>
      <c r="C727" s="2">
        <f t="shared" si="11"/>
        <v>42704</v>
      </c>
      <c r="D727" t="s">
        <v>12</v>
      </c>
      <c r="E727" t="s">
        <v>9</v>
      </c>
      <c r="F727">
        <v>1571.11</v>
      </c>
      <c r="G727">
        <v>156.16999999999999</v>
      </c>
    </row>
    <row r="728" spans="1:7" x14ac:dyDescent="0.35">
      <c r="A728" t="s">
        <v>1273</v>
      </c>
      <c r="B728" s="1" t="s">
        <v>1274</v>
      </c>
      <c r="C728" s="2">
        <f t="shared" si="11"/>
        <v>42400</v>
      </c>
      <c r="D728" t="s">
        <v>12</v>
      </c>
      <c r="E728" t="s">
        <v>13</v>
      </c>
      <c r="F728">
        <v>4299.3100000000004</v>
      </c>
      <c r="G728">
        <v>511.67</v>
      </c>
    </row>
    <row r="729" spans="1:7" x14ac:dyDescent="0.35">
      <c r="A729" t="s">
        <v>1275</v>
      </c>
      <c r="B729" s="1" t="s">
        <v>831</v>
      </c>
      <c r="C729" s="2">
        <f t="shared" si="11"/>
        <v>42400</v>
      </c>
      <c r="D729" t="s">
        <v>37</v>
      </c>
      <c r="E729" t="s">
        <v>9</v>
      </c>
      <c r="F729">
        <v>4621.6899999999996</v>
      </c>
      <c r="G729">
        <v>405.89</v>
      </c>
    </row>
    <row r="730" spans="1:7" x14ac:dyDescent="0.35">
      <c r="A730" t="s">
        <v>1276</v>
      </c>
      <c r="B730" s="1" t="s">
        <v>1277</v>
      </c>
      <c r="C730" s="2">
        <f t="shared" si="11"/>
        <v>42704</v>
      </c>
      <c r="D730" t="s">
        <v>8</v>
      </c>
      <c r="E730" t="s">
        <v>9</v>
      </c>
      <c r="F730">
        <v>1479.58</v>
      </c>
      <c r="G730">
        <v>157.66</v>
      </c>
    </row>
    <row r="731" spans="1:7" x14ac:dyDescent="0.35">
      <c r="A731" t="s">
        <v>1278</v>
      </c>
      <c r="B731" s="1" t="s">
        <v>1120</v>
      </c>
      <c r="C731" s="2">
        <f t="shared" si="11"/>
        <v>42521</v>
      </c>
      <c r="D731" t="s">
        <v>37</v>
      </c>
      <c r="E731" t="s">
        <v>25</v>
      </c>
      <c r="F731">
        <v>3846</v>
      </c>
      <c r="G731">
        <v>1087.6300000000001</v>
      </c>
    </row>
    <row r="732" spans="1:7" x14ac:dyDescent="0.35">
      <c r="A732" t="s">
        <v>1279</v>
      </c>
      <c r="B732" s="1" t="s">
        <v>1205</v>
      </c>
      <c r="C732" s="2">
        <f t="shared" si="11"/>
        <v>42643</v>
      </c>
      <c r="D732" t="s">
        <v>16</v>
      </c>
      <c r="E732" t="s">
        <v>9</v>
      </c>
      <c r="F732">
        <v>4887</v>
      </c>
      <c r="G732">
        <v>1243.92</v>
      </c>
    </row>
    <row r="733" spans="1:7" x14ac:dyDescent="0.35">
      <c r="A733" t="s">
        <v>1280</v>
      </c>
      <c r="B733" s="1" t="s">
        <v>250</v>
      </c>
      <c r="C733" s="2">
        <f t="shared" si="11"/>
        <v>42643</v>
      </c>
      <c r="D733" t="s">
        <v>37</v>
      </c>
      <c r="E733" t="s">
        <v>9</v>
      </c>
      <c r="F733">
        <v>4090.98</v>
      </c>
      <c r="G733">
        <v>503.14</v>
      </c>
    </row>
    <row r="734" spans="1:7" x14ac:dyDescent="0.35">
      <c r="A734" t="s">
        <v>1281</v>
      </c>
      <c r="B734" s="1" t="s">
        <v>1282</v>
      </c>
      <c r="C734" s="2">
        <f t="shared" si="11"/>
        <v>42735</v>
      </c>
      <c r="D734" t="s">
        <v>37</v>
      </c>
      <c r="E734" t="s">
        <v>13</v>
      </c>
      <c r="F734">
        <v>4636.08</v>
      </c>
      <c r="G734">
        <v>949.63</v>
      </c>
    </row>
    <row r="735" spans="1:7" x14ac:dyDescent="0.35">
      <c r="A735" t="s">
        <v>1283</v>
      </c>
      <c r="B735" s="1" t="s">
        <v>1284</v>
      </c>
      <c r="C735" s="2">
        <f t="shared" si="11"/>
        <v>43100</v>
      </c>
      <c r="D735" t="s">
        <v>16</v>
      </c>
      <c r="E735" t="s">
        <v>25</v>
      </c>
      <c r="F735">
        <v>685.14</v>
      </c>
      <c r="G735">
        <v>153.55000000000001</v>
      </c>
    </row>
    <row r="736" spans="1:7" x14ac:dyDescent="0.35">
      <c r="A736" t="s">
        <v>1285</v>
      </c>
      <c r="B736" s="1" t="s">
        <v>943</v>
      </c>
      <c r="C736" s="2">
        <f t="shared" si="11"/>
        <v>42429</v>
      </c>
      <c r="D736" t="s">
        <v>8</v>
      </c>
      <c r="E736" t="s">
        <v>9</v>
      </c>
      <c r="F736">
        <v>1920.79</v>
      </c>
      <c r="G736">
        <v>236.37</v>
      </c>
    </row>
    <row r="737" spans="1:7" x14ac:dyDescent="0.35">
      <c r="A737" t="s">
        <v>1286</v>
      </c>
      <c r="B737" s="1" t="s">
        <v>284</v>
      </c>
      <c r="C737" s="2">
        <f t="shared" si="11"/>
        <v>43281</v>
      </c>
      <c r="D737" t="s">
        <v>16</v>
      </c>
      <c r="E737" t="s">
        <v>13</v>
      </c>
      <c r="F737">
        <v>277.24</v>
      </c>
      <c r="G737">
        <v>32.57</v>
      </c>
    </row>
    <row r="738" spans="1:7" x14ac:dyDescent="0.35">
      <c r="A738" t="s">
        <v>1287</v>
      </c>
      <c r="B738" s="1" t="s">
        <v>1288</v>
      </c>
      <c r="C738" s="2">
        <f t="shared" si="11"/>
        <v>43131</v>
      </c>
      <c r="D738" t="s">
        <v>12</v>
      </c>
      <c r="E738" t="s">
        <v>9</v>
      </c>
      <c r="F738">
        <v>2046.19</v>
      </c>
      <c r="G738">
        <v>151.97999999999999</v>
      </c>
    </row>
    <row r="739" spans="1:7" x14ac:dyDescent="0.35">
      <c r="A739" t="s">
        <v>1289</v>
      </c>
      <c r="B739" s="1" t="s">
        <v>743</v>
      </c>
      <c r="C739" s="2">
        <f t="shared" si="11"/>
        <v>42460</v>
      </c>
      <c r="D739" t="s">
        <v>37</v>
      </c>
      <c r="E739" t="s">
        <v>9</v>
      </c>
      <c r="F739">
        <v>1961.39</v>
      </c>
      <c r="G739">
        <v>490.13</v>
      </c>
    </row>
    <row r="740" spans="1:7" x14ac:dyDescent="0.35">
      <c r="A740" t="s">
        <v>1290</v>
      </c>
      <c r="B740" s="1" t="s">
        <v>1291</v>
      </c>
      <c r="C740" s="2">
        <f t="shared" si="11"/>
        <v>43008</v>
      </c>
      <c r="D740" t="s">
        <v>12</v>
      </c>
      <c r="E740" t="s">
        <v>25</v>
      </c>
      <c r="F740">
        <v>506.24</v>
      </c>
      <c r="G740">
        <v>106.84</v>
      </c>
    </row>
    <row r="741" spans="1:7" x14ac:dyDescent="0.35">
      <c r="A741" t="s">
        <v>1292</v>
      </c>
      <c r="B741" s="1" t="s">
        <v>1293</v>
      </c>
      <c r="C741" s="2">
        <f t="shared" si="11"/>
        <v>42490</v>
      </c>
      <c r="D741" t="s">
        <v>37</v>
      </c>
      <c r="E741" t="s">
        <v>9</v>
      </c>
      <c r="F741">
        <v>2999.46</v>
      </c>
      <c r="G741">
        <v>887.27</v>
      </c>
    </row>
    <row r="742" spans="1:7" x14ac:dyDescent="0.35">
      <c r="A742" t="s">
        <v>1294</v>
      </c>
      <c r="B742" s="1" t="s">
        <v>1295</v>
      </c>
      <c r="C742" s="2">
        <f t="shared" si="11"/>
        <v>42613</v>
      </c>
      <c r="D742" t="s">
        <v>8</v>
      </c>
      <c r="E742" t="s">
        <v>13</v>
      </c>
      <c r="F742">
        <v>1318.46</v>
      </c>
      <c r="G742">
        <v>236.58</v>
      </c>
    </row>
    <row r="743" spans="1:7" x14ac:dyDescent="0.35">
      <c r="A743" t="s">
        <v>1296</v>
      </c>
      <c r="B743" s="1" t="s">
        <v>1297</v>
      </c>
      <c r="C743" s="2">
        <f t="shared" si="11"/>
        <v>42978</v>
      </c>
      <c r="D743" t="s">
        <v>37</v>
      </c>
      <c r="E743" t="s">
        <v>13</v>
      </c>
      <c r="F743">
        <v>2231.7199999999998</v>
      </c>
      <c r="G743">
        <v>494.17</v>
      </c>
    </row>
    <row r="744" spans="1:7" x14ac:dyDescent="0.35">
      <c r="A744" t="s">
        <v>1298</v>
      </c>
      <c r="B744" s="1" t="s">
        <v>696</v>
      </c>
      <c r="C744" s="2">
        <f t="shared" si="11"/>
        <v>42704</v>
      </c>
      <c r="D744" t="s">
        <v>16</v>
      </c>
      <c r="E744" t="s">
        <v>9</v>
      </c>
      <c r="F744">
        <v>4250.0600000000004</v>
      </c>
      <c r="G744">
        <v>740.55</v>
      </c>
    </row>
    <row r="745" spans="1:7" x14ac:dyDescent="0.35">
      <c r="A745" t="s">
        <v>1299</v>
      </c>
      <c r="B745" s="1" t="s">
        <v>618</v>
      </c>
      <c r="C745" s="2">
        <f t="shared" si="11"/>
        <v>43220</v>
      </c>
      <c r="D745" t="s">
        <v>37</v>
      </c>
      <c r="E745" t="s">
        <v>13</v>
      </c>
      <c r="F745">
        <v>1853.82</v>
      </c>
      <c r="G745">
        <v>440.84</v>
      </c>
    </row>
    <row r="746" spans="1:7" x14ac:dyDescent="0.35">
      <c r="A746" t="s">
        <v>1300</v>
      </c>
      <c r="B746" s="1" t="s">
        <v>104</v>
      </c>
      <c r="C746" s="2">
        <f t="shared" si="11"/>
        <v>42704</v>
      </c>
      <c r="D746" t="s">
        <v>8</v>
      </c>
      <c r="E746" t="s">
        <v>13</v>
      </c>
      <c r="F746">
        <v>395.83</v>
      </c>
      <c r="G746">
        <v>98.8</v>
      </c>
    </row>
    <row r="747" spans="1:7" x14ac:dyDescent="0.35">
      <c r="A747" t="s">
        <v>1301</v>
      </c>
      <c r="B747" s="1" t="s">
        <v>1302</v>
      </c>
      <c r="C747" s="2">
        <f t="shared" si="11"/>
        <v>42704</v>
      </c>
      <c r="D747" t="s">
        <v>37</v>
      </c>
      <c r="E747" t="s">
        <v>13</v>
      </c>
      <c r="F747">
        <v>1357.1</v>
      </c>
      <c r="G747">
        <v>135.68</v>
      </c>
    </row>
    <row r="748" spans="1:7" x14ac:dyDescent="0.35">
      <c r="A748" t="s">
        <v>1303</v>
      </c>
      <c r="B748" s="1" t="s">
        <v>151</v>
      </c>
      <c r="C748" s="2">
        <f t="shared" si="11"/>
        <v>43159</v>
      </c>
      <c r="D748" t="s">
        <v>12</v>
      </c>
      <c r="E748" t="s">
        <v>13</v>
      </c>
      <c r="F748">
        <v>2621.2800000000002</v>
      </c>
      <c r="G748">
        <v>225.77</v>
      </c>
    </row>
    <row r="749" spans="1:7" x14ac:dyDescent="0.35">
      <c r="A749" t="s">
        <v>1304</v>
      </c>
      <c r="B749" s="1" t="s">
        <v>1305</v>
      </c>
      <c r="C749" s="2">
        <f t="shared" si="11"/>
        <v>42886</v>
      </c>
      <c r="D749" t="s">
        <v>37</v>
      </c>
      <c r="E749" t="s">
        <v>25</v>
      </c>
      <c r="F749">
        <v>633.21</v>
      </c>
      <c r="G749">
        <v>74.900000000000006</v>
      </c>
    </row>
    <row r="750" spans="1:7" x14ac:dyDescent="0.35">
      <c r="A750" t="s">
        <v>1306</v>
      </c>
      <c r="B750" s="1" t="s">
        <v>1307</v>
      </c>
      <c r="C750" s="2">
        <f t="shared" si="11"/>
        <v>42460</v>
      </c>
      <c r="D750" t="s">
        <v>37</v>
      </c>
      <c r="E750" t="s">
        <v>25</v>
      </c>
      <c r="F750">
        <v>2182.7199999999998</v>
      </c>
      <c r="G750">
        <v>611.08000000000004</v>
      </c>
    </row>
    <row r="751" spans="1:7" x14ac:dyDescent="0.35">
      <c r="A751" t="s">
        <v>1308</v>
      </c>
      <c r="B751" s="1" t="s">
        <v>569</v>
      </c>
      <c r="C751" s="2">
        <f t="shared" si="11"/>
        <v>42521</v>
      </c>
      <c r="D751" t="s">
        <v>16</v>
      </c>
      <c r="E751" t="s">
        <v>25</v>
      </c>
      <c r="F751">
        <v>4530.68</v>
      </c>
      <c r="G751">
        <v>318.74</v>
      </c>
    </row>
    <row r="752" spans="1:7" x14ac:dyDescent="0.35">
      <c r="A752" t="s">
        <v>1309</v>
      </c>
      <c r="B752" s="1" t="s">
        <v>1310</v>
      </c>
      <c r="C752" s="2">
        <f t="shared" si="11"/>
        <v>43159</v>
      </c>
      <c r="D752" t="s">
        <v>8</v>
      </c>
      <c r="E752" t="s">
        <v>9</v>
      </c>
      <c r="F752">
        <v>4780.58</v>
      </c>
      <c r="G752">
        <v>1314.25</v>
      </c>
    </row>
    <row r="753" spans="1:7" x14ac:dyDescent="0.35">
      <c r="A753" t="s">
        <v>1311</v>
      </c>
      <c r="B753" s="1" t="s">
        <v>560</v>
      </c>
      <c r="C753" s="2">
        <f t="shared" si="11"/>
        <v>43373</v>
      </c>
      <c r="D753" t="s">
        <v>37</v>
      </c>
      <c r="E753" t="s">
        <v>25</v>
      </c>
      <c r="F753">
        <v>2612.09</v>
      </c>
      <c r="G753">
        <v>429.13</v>
      </c>
    </row>
    <row r="754" spans="1:7" x14ac:dyDescent="0.35">
      <c r="A754" t="s">
        <v>1312</v>
      </c>
      <c r="B754" s="1" t="s">
        <v>1313</v>
      </c>
      <c r="C754" s="2">
        <f t="shared" si="11"/>
        <v>42855</v>
      </c>
      <c r="D754" t="s">
        <v>16</v>
      </c>
      <c r="E754" t="s">
        <v>13</v>
      </c>
      <c r="F754">
        <v>4144.53</v>
      </c>
      <c r="G754">
        <v>1161.1400000000001</v>
      </c>
    </row>
    <row r="755" spans="1:7" x14ac:dyDescent="0.35">
      <c r="A755" t="s">
        <v>1314</v>
      </c>
      <c r="B755" s="1" t="s">
        <v>998</v>
      </c>
      <c r="C755" s="2">
        <f t="shared" si="11"/>
        <v>43131</v>
      </c>
      <c r="D755" t="s">
        <v>37</v>
      </c>
      <c r="E755" t="s">
        <v>25</v>
      </c>
      <c r="F755">
        <v>1422.74</v>
      </c>
      <c r="G755">
        <v>109.64</v>
      </c>
    </row>
    <row r="756" spans="1:7" x14ac:dyDescent="0.35">
      <c r="A756" t="s">
        <v>1315</v>
      </c>
      <c r="B756" s="1" t="s">
        <v>1229</v>
      </c>
      <c r="C756" s="2">
        <f t="shared" si="11"/>
        <v>43069</v>
      </c>
      <c r="D756" t="s">
        <v>37</v>
      </c>
      <c r="E756" t="s">
        <v>13</v>
      </c>
      <c r="F756">
        <v>1239.78</v>
      </c>
      <c r="G756">
        <v>163.02000000000001</v>
      </c>
    </row>
    <row r="757" spans="1:7" x14ac:dyDescent="0.35">
      <c r="A757" t="s">
        <v>1316</v>
      </c>
      <c r="B757" s="1" t="s">
        <v>1317</v>
      </c>
      <c r="C757" s="2">
        <f t="shared" si="11"/>
        <v>42400</v>
      </c>
      <c r="D757" t="s">
        <v>37</v>
      </c>
      <c r="E757" t="s">
        <v>13</v>
      </c>
      <c r="F757">
        <v>4441.54</v>
      </c>
      <c r="G757">
        <v>262.64</v>
      </c>
    </row>
    <row r="758" spans="1:7" x14ac:dyDescent="0.35">
      <c r="A758" t="s">
        <v>1318</v>
      </c>
      <c r="B758" s="1" t="s">
        <v>485</v>
      </c>
      <c r="C758" s="2">
        <f t="shared" si="11"/>
        <v>42521</v>
      </c>
      <c r="D758" t="s">
        <v>37</v>
      </c>
      <c r="E758" t="s">
        <v>25</v>
      </c>
      <c r="F758">
        <v>784.86</v>
      </c>
      <c r="G758">
        <v>42.25</v>
      </c>
    </row>
    <row r="759" spans="1:7" x14ac:dyDescent="0.35">
      <c r="A759" t="s">
        <v>1319</v>
      </c>
      <c r="B759" s="1" t="s">
        <v>236</v>
      </c>
      <c r="C759" s="2">
        <f t="shared" si="11"/>
        <v>43100</v>
      </c>
      <c r="D759" t="s">
        <v>37</v>
      </c>
      <c r="E759" t="s">
        <v>9</v>
      </c>
      <c r="F759">
        <v>4041.07</v>
      </c>
      <c r="G759">
        <v>329.41</v>
      </c>
    </row>
    <row r="760" spans="1:7" x14ac:dyDescent="0.35">
      <c r="A760" t="s">
        <v>1320</v>
      </c>
      <c r="B760" s="1" t="s">
        <v>405</v>
      </c>
      <c r="C760" s="2">
        <f t="shared" si="11"/>
        <v>42947</v>
      </c>
      <c r="D760" t="s">
        <v>16</v>
      </c>
      <c r="E760" t="s">
        <v>13</v>
      </c>
      <c r="F760">
        <v>1070.8900000000001</v>
      </c>
      <c r="G760">
        <v>63.88</v>
      </c>
    </row>
    <row r="761" spans="1:7" x14ac:dyDescent="0.35">
      <c r="A761" t="s">
        <v>1321</v>
      </c>
      <c r="B761" s="1" t="s">
        <v>688</v>
      </c>
      <c r="C761" s="2">
        <f t="shared" si="11"/>
        <v>42704</v>
      </c>
      <c r="D761" t="s">
        <v>8</v>
      </c>
      <c r="E761" t="s">
        <v>25</v>
      </c>
      <c r="F761">
        <v>3918.89</v>
      </c>
      <c r="G761">
        <v>1070.18</v>
      </c>
    </row>
    <row r="762" spans="1:7" x14ac:dyDescent="0.35">
      <c r="A762" t="s">
        <v>1322</v>
      </c>
      <c r="B762" s="1" t="s">
        <v>474</v>
      </c>
      <c r="C762" s="2">
        <f t="shared" si="11"/>
        <v>43190</v>
      </c>
      <c r="D762" t="s">
        <v>16</v>
      </c>
      <c r="E762" t="s">
        <v>9</v>
      </c>
      <c r="F762">
        <v>3846.62</v>
      </c>
      <c r="G762">
        <v>734.33</v>
      </c>
    </row>
    <row r="763" spans="1:7" x14ac:dyDescent="0.35">
      <c r="A763" t="s">
        <v>1323</v>
      </c>
      <c r="B763" s="1" t="s">
        <v>179</v>
      </c>
      <c r="C763" s="2">
        <f t="shared" si="11"/>
        <v>42886</v>
      </c>
      <c r="D763" t="s">
        <v>16</v>
      </c>
      <c r="E763" t="s">
        <v>13</v>
      </c>
      <c r="F763">
        <v>4317.57</v>
      </c>
      <c r="G763">
        <v>536.92999999999995</v>
      </c>
    </row>
    <row r="764" spans="1:7" x14ac:dyDescent="0.35">
      <c r="A764" t="s">
        <v>1324</v>
      </c>
      <c r="B764" s="1" t="s">
        <v>1325</v>
      </c>
      <c r="C764" s="2">
        <f t="shared" si="11"/>
        <v>42521</v>
      </c>
      <c r="D764" t="s">
        <v>12</v>
      </c>
      <c r="E764" t="s">
        <v>13</v>
      </c>
      <c r="F764">
        <v>609.92999999999995</v>
      </c>
      <c r="G764">
        <v>104.39</v>
      </c>
    </row>
    <row r="765" spans="1:7" x14ac:dyDescent="0.35">
      <c r="A765" t="s">
        <v>1326</v>
      </c>
      <c r="B765" s="1" t="s">
        <v>1327</v>
      </c>
      <c r="C765" s="2">
        <f t="shared" si="11"/>
        <v>43281</v>
      </c>
      <c r="D765" t="s">
        <v>8</v>
      </c>
      <c r="E765" t="s">
        <v>25</v>
      </c>
      <c r="F765">
        <v>3613.24</v>
      </c>
      <c r="G765">
        <v>923.48</v>
      </c>
    </row>
    <row r="766" spans="1:7" x14ac:dyDescent="0.35">
      <c r="A766" t="s">
        <v>1328</v>
      </c>
      <c r="B766" s="1" t="s">
        <v>474</v>
      </c>
      <c r="C766" s="2">
        <f t="shared" si="11"/>
        <v>43190</v>
      </c>
      <c r="D766" t="s">
        <v>12</v>
      </c>
      <c r="E766" t="s">
        <v>13</v>
      </c>
      <c r="F766">
        <v>3339.32</v>
      </c>
      <c r="G766">
        <v>742.12</v>
      </c>
    </row>
    <row r="767" spans="1:7" x14ac:dyDescent="0.35">
      <c r="A767" t="s">
        <v>1329</v>
      </c>
      <c r="B767" s="1" t="s">
        <v>45</v>
      </c>
      <c r="C767" s="2">
        <f t="shared" si="11"/>
        <v>42400</v>
      </c>
      <c r="D767" t="s">
        <v>8</v>
      </c>
      <c r="E767" t="s">
        <v>25</v>
      </c>
      <c r="F767">
        <v>1326.69</v>
      </c>
      <c r="G767">
        <v>203.33</v>
      </c>
    </row>
    <row r="768" spans="1:7" x14ac:dyDescent="0.35">
      <c r="A768" t="s">
        <v>1330</v>
      </c>
      <c r="B768" s="1" t="s">
        <v>1331</v>
      </c>
      <c r="C768" s="2">
        <f t="shared" si="11"/>
        <v>42978</v>
      </c>
      <c r="D768" t="s">
        <v>12</v>
      </c>
      <c r="E768" t="s">
        <v>13</v>
      </c>
      <c r="F768">
        <v>2887.18</v>
      </c>
      <c r="G768">
        <v>366.07</v>
      </c>
    </row>
    <row r="769" spans="1:7" x14ac:dyDescent="0.35">
      <c r="A769" t="s">
        <v>1332</v>
      </c>
      <c r="B769" s="1" t="s">
        <v>120</v>
      </c>
      <c r="C769" s="2">
        <f t="shared" si="11"/>
        <v>42460</v>
      </c>
      <c r="D769" t="s">
        <v>8</v>
      </c>
      <c r="E769" t="s">
        <v>13</v>
      </c>
      <c r="F769">
        <v>3571.34</v>
      </c>
      <c r="G769">
        <v>811.59</v>
      </c>
    </row>
    <row r="770" spans="1:7" x14ac:dyDescent="0.35">
      <c r="A770" t="s">
        <v>1333</v>
      </c>
      <c r="B770" s="1" t="s">
        <v>1334</v>
      </c>
      <c r="C770" s="2">
        <f t="shared" si="11"/>
        <v>43131</v>
      </c>
      <c r="D770" t="s">
        <v>37</v>
      </c>
      <c r="E770" t="s">
        <v>13</v>
      </c>
      <c r="F770">
        <v>3886.61</v>
      </c>
      <c r="G770">
        <v>1129.1099999999999</v>
      </c>
    </row>
    <row r="771" spans="1:7" x14ac:dyDescent="0.35">
      <c r="A771" t="s">
        <v>1335</v>
      </c>
      <c r="B771" s="1" t="s">
        <v>11</v>
      </c>
      <c r="C771" s="2">
        <f t="shared" ref="C771:C834" si="12">EOMONTH(B771,0)</f>
        <v>43008</v>
      </c>
      <c r="D771" t="s">
        <v>12</v>
      </c>
      <c r="E771" t="s">
        <v>13</v>
      </c>
      <c r="F771">
        <v>3765.48</v>
      </c>
      <c r="G771">
        <v>447.98</v>
      </c>
    </row>
    <row r="772" spans="1:7" x14ac:dyDescent="0.35">
      <c r="A772" t="s">
        <v>1336</v>
      </c>
      <c r="B772" s="1" t="s">
        <v>1337</v>
      </c>
      <c r="C772" s="2">
        <f t="shared" si="12"/>
        <v>42613</v>
      </c>
      <c r="D772" t="s">
        <v>12</v>
      </c>
      <c r="E772" t="s">
        <v>9</v>
      </c>
      <c r="F772">
        <v>4030.01</v>
      </c>
      <c r="G772">
        <v>671.63</v>
      </c>
    </row>
    <row r="773" spans="1:7" x14ac:dyDescent="0.35">
      <c r="A773" t="s">
        <v>1338</v>
      </c>
      <c r="B773" s="1" t="s">
        <v>1339</v>
      </c>
      <c r="C773" s="2">
        <f t="shared" si="12"/>
        <v>42490</v>
      </c>
      <c r="D773" t="s">
        <v>37</v>
      </c>
      <c r="E773" t="s">
        <v>9</v>
      </c>
      <c r="F773">
        <v>1185.46</v>
      </c>
      <c r="G773">
        <v>89.23</v>
      </c>
    </row>
    <row r="774" spans="1:7" x14ac:dyDescent="0.35">
      <c r="A774" t="s">
        <v>1340</v>
      </c>
      <c r="B774" s="1" t="s">
        <v>256</v>
      </c>
      <c r="C774" s="2">
        <f t="shared" si="12"/>
        <v>42674</v>
      </c>
      <c r="D774" t="s">
        <v>8</v>
      </c>
      <c r="E774" t="s">
        <v>13</v>
      </c>
      <c r="F774">
        <v>2384.34</v>
      </c>
      <c r="G774">
        <v>277.45</v>
      </c>
    </row>
    <row r="775" spans="1:7" x14ac:dyDescent="0.35">
      <c r="A775" t="s">
        <v>1341</v>
      </c>
      <c r="B775" s="1" t="s">
        <v>1342</v>
      </c>
      <c r="C775" s="2">
        <f t="shared" si="12"/>
        <v>43069</v>
      </c>
      <c r="D775" t="s">
        <v>16</v>
      </c>
      <c r="E775" t="s">
        <v>25</v>
      </c>
      <c r="F775">
        <v>126.06</v>
      </c>
      <c r="G775">
        <v>35.36</v>
      </c>
    </row>
    <row r="776" spans="1:7" x14ac:dyDescent="0.35">
      <c r="A776" t="s">
        <v>1343</v>
      </c>
      <c r="B776" s="1" t="s">
        <v>246</v>
      </c>
      <c r="C776" s="2">
        <f t="shared" si="12"/>
        <v>43281</v>
      </c>
      <c r="D776" t="s">
        <v>37</v>
      </c>
      <c r="E776" t="s">
        <v>13</v>
      </c>
      <c r="F776">
        <v>2916.38</v>
      </c>
      <c r="G776">
        <v>173.7</v>
      </c>
    </row>
    <row r="777" spans="1:7" x14ac:dyDescent="0.35">
      <c r="A777" t="s">
        <v>1344</v>
      </c>
      <c r="B777" s="1" t="s">
        <v>1060</v>
      </c>
      <c r="C777" s="2">
        <f t="shared" si="12"/>
        <v>42613</v>
      </c>
      <c r="D777" t="s">
        <v>8</v>
      </c>
      <c r="E777" t="s">
        <v>13</v>
      </c>
      <c r="F777">
        <v>3436.68</v>
      </c>
      <c r="G777">
        <v>918.45</v>
      </c>
    </row>
    <row r="778" spans="1:7" x14ac:dyDescent="0.35">
      <c r="A778" t="s">
        <v>1345</v>
      </c>
      <c r="B778" s="1" t="s">
        <v>1346</v>
      </c>
      <c r="C778" s="2">
        <f t="shared" si="12"/>
        <v>43220</v>
      </c>
      <c r="D778" t="s">
        <v>37</v>
      </c>
      <c r="E778" t="s">
        <v>9</v>
      </c>
      <c r="F778">
        <v>412.86</v>
      </c>
      <c r="G778">
        <v>28.56</v>
      </c>
    </row>
    <row r="779" spans="1:7" x14ac:dyDescent="0.35">
      <c r="A779" t="s">
        <v>1347</v>
      </c>
      <c r="B779" s="1" t="s">
        <v>1348</v>
      </c>
      <c r="C779" s="2">
        <f t="shared" si="12"/>
        <v>43251</v>
      </c>
      <c r="D779" t="s">
        <v>12</v>
      </c>
      <c r="E779" t="s">
        <v>9</v>
      </c>
      <c r="F779">
        <v>3456.44</v>
      </c>
      <c r="G779">
        <v>1019.17</v>
      </c>
    </row>
    <row r="780" spans="1:7" x14ac:dyDescent="0.35">
      <c r="A780" t="s">
        <v>1349</v>
      </c>
      <c r="B780" s="1" t="s">
        <v>1187</v>
      </c>
      <c r="C780" s="2">
        <f t="shared" si="12"/>
        <v>42825</v>
      </c>
      <c r="D780" t="s">
        <v>12</v>
      </c>
      <c r="E780" t="s">
        <v>13</v>
      </c>
      <c r="F780">
        <v>1514.47</v>
      </c>
      <c r="G780">
        <v>356.22</v>
      </c>
    </row>
    <row r="781" spans="1:7" x14ac:dyDescent="0.35">
      <c r="A781" t="s">
        <v>1350</v>
      </c>
      <c r="B781" s="1" t="s">
        <v>868</v>
      </c>
      <c r="C781" s="2">
        <f t="shared" si="12"/>
        <v>42766</v>
      </c>
      <c r="D781" t="s">
        <v>8</v>
      </c>
      <c r="E781" t="s">
        <v>25</v>
      </c>
      <c r="F781">
        <v>2859.28</v>
      </c>
      <c r="G781">
        <v>214.18</v>
      </c>
    </row>
    <row r="782" spans="1:7" x14ac:dyDescent="0.35">
      <c r="A782" t="s">
        <v>1351</v>
      </c>
      <c r="B782" s="1" t="s">
        <v>1352</v>
      </c>
      <c r="C782" s="2">
        <f t="shared" si="12"/>
        <v>42978</v>
      </c>
      <c r="D782" t="s">
        <v>8</v>
      </c>
      <c r="E782" t="s">
        <v>9</v>
      </c>
      <c r="F782">
        <v>2769</v>
      </c>
      <c r="G782">
        <v>524.30999999999995</v>
      </c>
    </row>
    <row r="783" spans="1:7" x14ac:dyDescent="0.35">
      <c r="A783" t="s">
        <v>1353</v>
      </c>
      <c r="B783" s="1" t="s">
        <v>165</v>
      </c>
      <c r="C783" s="2">
        <f t="shared" si="12"/>
        <v>42704</v>
      </c>
      <c r="D783" t="s">
        <v>8</v>
      </c>
      <c r="E783" t="s">
        <v>13</v>
      </c>
      <c r="F783">
        <v>588.25</v>
      </c>
      <c r="G783">
        <v>40.409999999999997</v>
      </c>
    </row>
    <row r="784" spans="1:7" x14ac:dyDescent="0.35">
      <c r="A784" t="s">
        <v>1354</v>
      </c>
      <c r="B784" s="1" t="s">
        <v>1277</v>
      </c>
      <c r="C784" s="2">
        <f t="shared" si="12"/>
        <v>42704</v>
      </c>
      <c r="D784" t="s">
        <v>8</v>
      </c>
      <c r="E784" t="s">
        <v>9</v>
      </c>
      <c r="F784">
        <v>2130.91</v>
      </c>
      <c r="G784">
        <v>330.94</v>
      </c>
    </row>
    <row r="785" spans="1:7" x14ac:dyDescent="0.35">
      <c r="A785" t="s">
        <v>1355</v>
      </c>
      <c r="B785" s="1" t="s">
        <v>1356</v>
      </c>
      <c r="C785" s="2">
        <f t="shared" si="12"/>
        <v>42429</v>
      </c>
      <c r="D785" t="s">
        <v>37</v>
      </c>
      <c r="E785" t="s">
        <v>9</v>
      </c>
      <c r="F785">
        <v>4210.46</v>
      </c>
      <c r="G785">
        <v>442.41</v>
      </c>
    </row>
    <row r="786" spans="1:7" x14ac:dyDescent="0.35">
      <c r="A786" t="s">
        <v>1357</v>
      </c>
      <c r="B786" s="1" t="s">
        <v>1282</v>
      </c>
      <c r="C786" s="2">
        <f t="shared" si="12"/>
        <v>42735</v>
      </c>
      <c r="D786" t="s">
        <v>12</v>
      </c>
      <c r="E786" t="s">
        <v>13</v>
      </c>
      <c r="F786">
        <v>2739.37</v>
      </c>
      <c r="G786">
        <v>264.51</v>
      </c>
    </row>
    <row r="787" spans="1:7" x14ac:dyDescent="0.35">
      <c r="A787" t="s">
        <v>1358</v>
      </c>
      <c r="B787" s="1" t="s">
        <v>1359</v>
      </c>
      <c r="C787" s="2">
        <f t="shared" si="12"/>
        <v>43159</v>
      </c>
      <c r="D787" t="s">
        <v>12</v>
      </c>
      <c r="E787" t="s">
        <v>13</v>
      </c>
      <c r="F787">
        <v>2896.53</v>
      </c>
      <c r="G787">
        <v>694.15</v>
      </c>
    </row>
    <row r="788" spans="1:7" x14ac:dyDescent="0.35">
      <c r="A788" t="s">
        <v>1360</v>
      </c>
      <c r="B788" s="1" t="s">
        <v>961</v>
      </c>
      <c r="C788" s="2">
        <f t="shared" si="12"/>
        <v>42825</v>
      </c>
      <c r="D788" t="s">
        <v>12</v>
      </c>
      <c r="E788" t="s">
        <v>9</v>
      </c>
      <c r="F788">
        <v>2837.59</v>
      </c>
      <c r="G788">
        <v>510.4</v>
      </c>
    </row>
    <row r="789" spans="1:7" x14ac:dyDescent="0.35">
      <c r="A789" t="s">
        <v>1361</v>
      </c>
      <c r="B789" s="1" t="s">
        <v>1362</v>
      </c>
      <c r="C789" s="2">
        <f t="shared" si="12"/>
        <v>43312</v>
      </c>
      <c r="D789" t="s">
        <v>8</v>
      </c>
      <c r="E789" t="s">
        <v>13</v>
      </c>
      <c r="F789">
        <v>721.26</v>
      </c>
      <c r="G789">
        <v>213.38</v>
      </c>
    </row>
    <row r="790" spans="1:7" x14ac:dyDescent="0.35">
      <c r="A790" t="s">
        <v>1363</v>
      </c>
      <c r="B790" s="1" t="s">
        <v>727</v>
      </c>
      <c r="C790" s="2">
        <f t="shared" si="12"/>
        <v>42794</v>
      </c>
      <c r="D790" t="s">
        <v>37</v>
      </c>
      <c r="E790" t="s">
        <v>25</v>
      </c>
      <c r="F790">
        <v>3948.78</v>
      </c>
      <c r="G790">
        <v>1142.45</v>
      </c>
    </row>
    <row r="791" spans="1:7" x14ac:dyDescent="0.35">
      <c r="A791" t="s">
        <v>1364</v>
      </c>
      <c r="B791" s="1" t="s">
        <v>1365</v>
      </c>
      <c r="C791" s="2">
        <f t="shared" si="12"/>
        <v>43220</v>
      </c>
      <c r="D791" t="s">
        <v>8</v>
      </c>
      <c r="E791" t="s">
        <v>25</v>
      </c>
      <c r="F791">
        <v>969</v>
      </c>
      <c r="G791">
        <v>176.39</v>
      </c>
    </row>
    <row r="792" spans="1:7" x14ac:dyDescent="0.35">
      <c r="A792" t="s">
        <v>1366</v>
      </c>
      <c r="B792" s="1" t="s">
        <v>1367</v>
      </c>
      <c r="C792" s="2">
        <f t="shared" si="12"/>
        <v>42735</v>
      </c>
      <c r="D792" t="s">
        <v>37</v>
      </c>
      <c r="E792" t="s">
        <v>13</v>
      </c>
      <c r="F792">
        <v>4808.5200000000004</v>
      </c>
      <c r="G792">
        <v>699.86</v>
      </c>
    </row>
    <row r="793" spans="1:7" x14ac:dyDescent="0.35">
      <c r="A793" t="s">
        <v>1368</v>
      </c>
      <c r="B793" s="1" t="s">
        <v>596</v>
      </c>
      <c r="C793" s="2">
        <f t="shared" si="12"/>
        <v>43343</v>
      </c>
      <c r="D793" t="s">
        <v>8</v>
      </c>
      <c r="E793" t="s">
        <v>13</v>
      </c>
      <c r="F793">
        <v>4435.8599999999997</v>
      </c>
      <c r="G793">
        <v>319.81</v>
      </c>
    </row>
    <row r="794" spans="1:7" x14ac:dyDescent="0.35">
      <c r="A794" t="s">
        <v>1369</v>
      </c>
      <c r="B794" s="1" t="s">
        <v>216</v>
      </c>
      <c r="C794" s="2">
        <f t="shared" si="12"/>
        <v>42794</v>
      </c>
      <c r="D794" t="s">
        <v>16</v>
      </c>
      <c r="E794" t="s">
        <v>9</v>
      </c>
      <c r="F794">
        <v>408.86</v>
      </c>
      <c r="G794">
        <v>105.96</v>
      </c>
    </row>
    <row r="795" spans="1:7" x14ac:dyDescent="0.35">
      <c r="A795" t="s">
        <v>1370</v>
      </c>
      <c r="B795" s="1" t="s">
        <v>1371</v>
      </c>
      <c r="C795" s="2">
        <f t="shared" si="12"/>
        <v>43100</v>
      </c>
      <c r="D795" t="s">
        <v>8</v>
      </c>
      <c r="E795" t="s">
        <v>9</v>
      </c>
      <c r="F795">
        <v>4900.71</v>
      </c>
      <c r="G795">
        <v>401.84</v>
      </c>
    </row>
    <row r="796" spans="1:7" x14ac:dyDescent="0.35">
      <c r="A796" t="s">
        <v>1372</v>
      </c>
      <c r="B796" s="1" t="s">
        <v>756</v>
      </c>
      <c r="C796" s="2">
        <f t="shared" si="12"/>
        <v>42916</v>
      </c>
      <c r="D796" t="s">
        <v>12</v>
      </c>
      <c r="E796" t="s">
        <v>25</v>
      </c>
      <c r="F796">
        <v>2184.0100000000002</v>
      </c>
      <c r="G796">
        <v>356.16</v>
      </c>
    </row>
    <row r="797" spans="1:7" x14ac:dyDescent="0.35">
      <c r="A797" t="s">
        <v>1373</v>
      </c>
      <c r="B797" s="1" t="s">
        <v>427</v>
      </c>
      <c r="C797" s="2">
        <f t="shared" si="12"/>
        <v>43312</v>
      </c>
      <c r="D797" t="s">
        <v>12</v>
      </c>
      <c r="E797" t="s">
        <v>13</v>
      </c>
      <c r="F797">
        <v>3526.01</v>
      </c>
      <c r="G797">
        <v>998.26</v>
      </c>
    </row>
    <row r="798" spans="1:7" x14ac:dyDescent="0.35">
      <c r="A798" t="s">
        <v>1374</v>
      </c>
      <c r="B798" s="1" t="s">
        <v>877</v>
      </c>
      <c r="C798" s="2">
        <f t="shared" si="12"/>
        <v>42916</v>
      </c>
      <c r="D798" t="s">
        <v>16</v>
      </c>
      <c r="E798" t="s">
        <v>25</v>
      </c>
      <c r="F798">
        <v>1318.77</v>
      </c>
      <c r="G798">
        <v>302.27</v>
      </c>
    </row>
    <row r="799" spans="1:7" x14ac:dyDescent="0.35">
      <c r="A799" t="s">
        <v>1375</v>
      </c>
      <c r="B799" s="1" t="s">
        <v>1313</v>
      </c>
      <c r="C799" s="2">
        <f t="shared" si="12"/>
        <v>42855</v>
      </c>
      <c r="D799" t="s">
        <v>37</v>
      </c>
      <c r="E799" t="s">
        <v>25</v>
      </c>
      <c r="F799">
        <v>232.24</v>
      </c>
      <c r="G799">
        <v>51.82</v>
      </c>
    </row>
    <row r="800" spans="1:7" x14ac:dyDescent="0.35">
      <c r="A800" t="s">
        <v>1376</v>
      </c>
      <c r="B800" s="1" t="s">
        <v>126</v>
      </c>
      <c r="C800" s="2">
        <f t="shared" si="12"/>
        <v>42429</v>
      </c>
      <c r="D800" t="s">
        <v>12</v>
      </c>
      <c r="E800" t="s">
        <v>25</v>
      </c>
      <c r="F800">
        <v>2790.09</v>
      </c>
      <c r="G800">
        <v>205.94</v>
      </c>
    </row>
    <row r="801" spans="1:7" x14ac:dyDescent="0.35">
      <c r="A801" t="s">
        <v>1377</v>
      </c>
      <c r="B801" s="1" t="s">
        <v>1378</v>
      </c>
      <c r="C801" s="2">
        <f t="shared" si="12"/>
        <v>43281</v>
      </c>
      <c r="D801" t="s">
        <v>12</v>
      </c>
      <c r="E801" t="s">
        <v>9</v>
      </c>
      <c r="F801">
        <v>1367.03</v>
      </c>
      <c r="G801">
        <v>315.68</v>
      </c>
    </row>
    <row r="802" spans="1:7" x14ac:dyDescent="0.35">
      <c r="A802" t="s">
        <v>1379</v>
      </c>
      <c r="B802" s="1" t="s">
        <v>1380</v>
      </c>
      <c r="C802" s="2">
        <f t="shared" si="12"/>
        <v>43343</v>
      </c>
      <c r="D802" t="s">
        <v>8</v>
      </c>
      <c r="E802" t="s">
        <v>13</v>
      </c>
      <c r="F802">
        <v>1477.72</v>
      </c>
      <c r="G802">
        <v>206.27</v>
      </c>
    </row>
    <row r="803" spans="1:7" x14ac:dyDescent="0.35">
      <c r="A803" t="s">
        <v>1381</v>
      </c>
      <c r="B803" s="1" t="s">
        <v>1382</v>
      </c>
      <c r="C803" s="2">
        <f t="shared" si="12"/>
        <v>43343</v>
      </c>
      <c r="D803" t="s">
        <v>16</v>
      </c>
      <c r="E803" t="s">
        <v>25</v>
      </c>
      <c r="F803">
        <v>1010.95</v>
      </c>
      <c r="G803">
        <v>213.76</v>
      </c>
    </row>
    <row r="804" spans="1:7" x14ac:dyDescent="0.35">
      <c r="A804" t="s">
        <v>1383</v>
      </c>
      <c r="B804" s="1" t="s">
        <v>710</v>
      </c>
      <c r="C804" s="2">
        <f t="shared" si="12"/>
        <v>42429</v>
      </c>
      <c r="D804" t="s">
        <v>12</v>
      </c>
      <c r="E804" t="s">
        <v>25</v>
      </c>
      <c r="F804">
        <v>1543.93</v>
      </c>
      <c r="G804">
        <v>191.27</v>
      </c>
    </row>
    <row r="805" spans="1:7" x14ac:dyDescent="0.35">
      <c r="A805" t="s">
        <v>1384</v>
      </c>
      <c r="B805" s="1" t="s">
        <v>1385</v>
      </c>
      <c r="C805" s="2">
        <f t="shared" si="12"/>
        <v>42704</v>
      </c>
      <c r="D805" t="s">
        <v>37</v>
      </c>
      <c r="E805" t="s">
        <v>9</v>
      </c>
      <c r="F805">
        <v>1673.85</v>
      </c>
      <c r="G805">
        <v>372.76</v>
      </c>
    </row>
    <row r="806" spans="1:7" x14ac:dyDescent="0.35">
      <c r="A806" t="s">
        <v>1386</v>
      </c>
      <c r="B806" s="1" t="s">
        <v>1387</v>
      </c>
      <c r="C806" s="2">
        <f t="shared" si="12"/>
        <v>42735</v>
      </c>
      <c r="D806" t="s">
        <v>37</v>
      </c>
      <c r="E806" t="s">
        <v>9</v>
      </c>
      <c r="F806">
        <v>1091.48</v>
      </c>
      <c r="G806">
        <v>260.89999999999998</v>
      </c>
    </row>
    <row r="807" spans="1:7" x14ac:dyDescent="0.35">
      <c r="A807" t="s">
        <v>1388</v>
      </c>
      <c r="B807" s="1" t="s">
        <v>1389</v>
      </c>
      <c r="C807" s="2">
        <f t="shared" si="12"/>
        <v>43220</v>
      </c>
      <c r="D807" t="s">
        <v>12</v>
      </c>
      <c r="E807" t="s">
        <v>9</v>
      </c>
      <c r="F807">
        <v>4351.13</v>
      </c>
      <c r="G807">
        <v>345.35</v>
      </c>
    </row>
    <row r="808" spans="1:7" x14ac:dyDescent="0.35">
      <c r="A808" t="s">
        <v>1390</v>
      </c>
      <c r="B808" s="1" t="s">
        <v>1391</v>
      </c>
      <c r="C808" s="2">
        <f t="shared" si="12"/>
        <v>42766</v>
      </c>
      <c r="D808" t="s">
        <v>37</v>
      </c>
      <c r="E808" t="s">
        <v>13</v>
      </c>
      <c r="F808">
        <v>4487.88</v>
      </c>
      <c r="G808">
        <v>269.27999999999997</v>
      </c>
    </row>
    <row r="809" spans="1:7" x14ac:dyDescent="0.35">
      <c r="A809" t="s">
        <v>1392</v>
      </c>
      <c r="B809" s="1" t="s">
        <v>643</v>
      </c>
      <c r="C809" s="2">
        <f t="shared" si="12"/>
        <v>43069</v>
      </c>
      <c r="D809" t="s">
        <v>37</v>
      </c>
      <c r="E809" t="s">
        <v>13</v>
      </c>
      <c r="F809">
        <v>1871.34</v>
      </c>
      <c r="G809">
        <v>298.39</v>
      </c>
    </row>
    <row r="810" spans="1:7" x14ac:dyDescent="0.35">
      <c r="A810" t="s">
        <v>1393</v>
      </c>
      <c r="B810" s="1" t="s">
        <v>851</v>
      </c>
      <c r="C810" s="2">
        <f t="shared" si="12"/>
        <v>42886</v>
      </c>
      <c r="D810" t="s">
        <v>12</v>
      </c>
      <c r="E810" t="s">
        <v>13</v>
      </c>
      <c r="F810">
        <v>879.75</v>
      </c>
      <c r="G810">
        <v>83.78</v>
      </c>
    </row>
    <row r="811" spans="1:7" x14ac:dyDescent="0.35">
      <c r="A811" t="s">
        <v>1394</v>
      </c>
      <c r="B811" s="1" t="s">
        <v>183</v>
      </c>
      <c r="C811" s="2">
        <f t="shared" si="12"/>
        <v>42613</v>
      </c>
      <c r="D811" t="s">
        <v>12</v>
      </c>
      <c r="E811" t="s">
        <v>9</v>
      </c>
      <c r="F811">
        <v>395.52</v>
      </c>
      <c r="G811">
        <v>81.56</v>
      </c>
    </row>
    <row r="812" spans="1:7" x14ac:dyDescent="0.35">
      <c r="A812" t="s">
        <v>1395</v>
      </c>
      <c r="B812" s="1" t="s">
        <v>535</v>
      </c>
      <c r="C812" s="2">
        <f t="shared" si="12"/>
        <v>42978</v>
      </c>
      <c r="D812" t="s">
        <v>8</v>
      </c>
      <c r="E812" t="s">
        <v>9</v>
      </c>
      <c r="F812">
        <v>2038.37</v>
      </c>
      <c r="G812">
        <v>360.33</v>
      </c>
    </row>
    <row r="813" spans="1:7" x14ac:dyDescent="0.35">
      <c r="A813" t="s">
        <v>1396</v>
      </c>
      <c r="B813" s="1" t="s">
        <v>425</v>
      </c>
      <c r="C813" s="2">
        <f t="shared" si="12"/>
        <v>42735</v>
      </c>
      <c r="D813" t="s">
        <v>12</v>
      </c>
      <c r="E813" t="s">
        <v>25</v>
      </c>
      <c r="F813">
        <v>4871.76</v>
      </c>
      <c r="G813">
        <v>725.63</v>
      </c>
    </row>
    <row r="814" spans="1:7" x14ac:dyDescent="0.35">
      <c r="A814" t="s">
        <v>1397</v>
      </c>
      <c r="B814" s="1" t="s">
        <v>379</v>
      </c>
      <c r="C814" s="2">
        <f t="shared" si="12"/>
        <v>43373</v>
      </c>
      <c r="D814" t="s">
        <v>16</v>
      </c>
      <c r="E814" t="s">
        <v>13</v>
      </c>
      <c r="F814">
        <v>3274.94</v>
      </c>
      <c r="G814">
        <v>504.22</v>
      </c>
    </row>
    <row r="815" spans="1:7" x14ac:dyDescent="0.35">
      <c r="A815" t="s">
        <v>1398</v>
      </c>
      <c r="B815" s="1" t="s">
        <v>512</v>
      </c>
      <c r="C815" s="2">
        <f t="shared" si="12"/>
        <v>42766</v>
      </c>
      <c r="D815" t="s">
        <v>37</v>
      </c>
      <c r="E815" t="s">
        <v>13</v>
      </c>
      <c r="F815">
        <v>4844.3599999999997</v>
      </c>
      <c r="G815">
        <v>403.04</v>
      </c>
    </row>
    <row r="816" spans="1:7" x14ac:dyDescent="0.35">
      <c r="A816" t="s">
        <v>1399</v>
      </c>
      <c r="B816" s="1" t="s">
        <v>1400</v>
      </c>
      <c r="C816" s="2">
        <f t="shared" si="12"/>
        <v>42551</v>
      </c>
      <c r="D816" t="s">
        <v>37</v>
      </c>
      <c r="E816" t="s">
        <v>25</v>
      </c>
      <c r="F816">
        <v>4146.78</v>
      </c>
      <c r="G816">
        <v>1210.7</v>
      </c>
    </row>
    <row r="817" spans="1:7" x14ac:dyDescent="0.35">
      <c r="A817" t="s">
        <v>1401</v>
      </c>
      <c r="B817" s="1" t="s">
        <v>193</v>
      </c>
      <c r="C817" s="2">
        <f t="shared" si="12"/>
        <v>43281</v>
      </c>
      <c r="D817" t="s">
        <v>8</v>
      </c>
      <c r="E817" t="s">
        <v>13</v>
      </c>
      <c r="F817">
        <v>3844.38</v>
      </c>
      <c r="G817">
        <v>694.75</v>
      </c>
    </row>
    <row r="818" spans="1:7" x14ac:dyDescent="0.35">
      <c r="A818" t="s">
        <v>1402</v>
      </c>
      <c r="B818" s="1" t="s">
        <v>282</v>
      </c>
      <c r="C818" s="2">
        <f t="shared" si="12"/>
        <v>42490</v>
      </c>
      <c r="D818" t="s">
        <v>37</v>
      </c>
      <c r="E818" t="s">
        <v>13</v>
      </c>
      <c r="F818">
        <v>174.47</v>
      </c>
      <c r="G818">
        <v>52.23</v>
      </c>
    </row>
    <row r="819" spans="1:7" x14ac:dyDescent="0.35">
      <c r="A819" t="s">
        <v>1403</v>
      </c>
      <c r="B819" s="1" t="s">
        <v>1404</v>
      </c>
      <c r="C819" s="2">
        <f t="shared" si="12"/>
        <v>42551</v>
      </c>
      <c r="D819" t="s">
        <v>37</v>
      </c>
      <c r="E819" t="s">
        <v>25</v>
      </c>
      <c r="F819">
        <v>4327.83</v>
      </c>
      <c r="G819">
        <v>845.35</v>
      </c>
    </row>
    <row r="820" spans="1:7" x14ac:dyDescent="0.35">
      <c r="A820" t="s">
        <v>1405</v>
      </c>
      <c r="B820" s="1" t="s">
        <v>1406</v>
      </c>
      <c r="C820" s="2">
        <f t="shared" si="12"/>
        <v>42674</v>
      </c>
      <c r="D820" t="s">
        <v>8</v>
      </c>
      <c r="E820" t="s">
        <v>9</v>
      </c>
      <c r="F820">
        <v>2599.79</v>
      </c>
      <c r="G820">
        <v>162.12</v>
      </c>
    </row>
    <row r="821" spans="1:7" x14ac:dyDescent="0.35">
      <c r="A821" t="s">
        <v>1407</v>
      </c>
      <c r="B821" s="1" t="s">
        <v>809</v>
      </c>
      <c r="C821" s="2">
        <f t="shared" si="12"/>
        <v>42674</v>
      </c>
      <c r="D821" t="s">
        <v>16</v>
      </c>
      <c r="E821" t="s">
        <v>13</v>
      </c>
      <c r="F821">
        <v>4552.6000000000004</v>
      </c>
      <c r="G821">
        <v>810.22</v>
      </c>
    </row>
    <row r="822" spans="1:7" x14ac:dyDescent="0.35">
      <c r="A822" t="s">
        <v>1408</v>
      </c>
      <c r="B822" s="1" t="s">
        <v>83</v>
      </c>
      <c r="C822" s="2">
        <f t="shared" si="12"/>
        <v>42855</v>
      </c>
      <c r="D822" t="s">
        <v>8</v>
      </c>
      <c r="E822" t="s">
        <v>9</v>
      </c>
      <c r="F822">
        <v>3957.79</v>
      </c>
      <c r="G822">
        <v>288.24</v>
      </c>
    </row>
    <row r="823" spans="1:7" x14ac:dyDescent="0.35">
      <c r="A823" t="s">
        <v>1409</v>
      </c>
      <c r="B823" s="1" t="s">
        <v>1410</v>
      </c>
      <c r="C823" s="2">
        <f t="shared" si="12"/>
        <v>42582</v>
      </c>
      <c r="D823" t="s">
        <v>8</v>
      </c>
      <c r="E823" t="s">
        <v>25</v>
      </c>
      <c r="F823">
        <v>350.07</v>
      </c>
      <c r="G823">
        <v>91.54</v>
      </c>
    </row>
    <row r="824" spans="1:7" x14ac:dyDescent="0.35">
      <c r="A824" t="s">
        <v>1411</v>
      </c>
      <c r="B824" s="1" t="s">
        <v>575</v>
      </c>
      <c r="C824" s="2">
        <f t="shared" si="12"/>
        <v>42766</v>
      </c>
      <c r="D824" t="s">
        <v>16</v>
      </c>
      <c r="E824" t="s">
        <v>9</v>
      </c>
      <c r="F824">
        <v>754.89</v>
      </c>
      <c r="G824">
        <v>217.13</v>
      </c>
    </row>
    <row r="825" spans="1:7" x14ac:dyDescent="0.35">
      <c r="A825" t="s">
        <v>1412</v>
      </c>
      <c r="B825" s="1" t="s">
        <v>1413</v>
      </c>
      <c r="C825" s="2">
        <f t="shared" si="12"/>
        <v>42735</v>
      </c>
      <c r="D825" t="s">
        <v>8</v>
      </c>
      <c r="E825" t="s">
        <v>9</v>
      </c>
      <c r="F825">
        <v>1198.01</v>
      </c>
      <c r="G825">
        <v>117.89</v>
      </c>
    </row>
    <row r="826" spans="1:7" x14ac:dyDescent="0.35">
      <c r="A826" t="s">
        <v>1414</v>
      </c>
      <c r="B826" s="1" t="s">
        <v>1415</v>
      </c>
      <c r="C826" s="2">
        <f t="shared" si="12"/>
        <v>42643</v>
      </c>
      <c r="D826" t="s">
        <v>37</v>
      </c>
      <c r="E826" t="s">
        <v>9</v>
      </c>
      <c r="F826">
        <v>3202.76</v>
      </c>
      <c r="G826">
        <v>161.04</v>
      </c>
    </row>
    <row r="827" spans="1:7" x14ac:dyDescent="0.35">
      <c r="A827" t="s">
        <v>1416</v>
      </c>
      <c r="B827" s="1" t="s">
        <v>632</v>
      </c>
      <c r="C827" s="2">
        <f t="shared" si="12"/>
        <v>42794</v>
      </c>
      <c r="D827" t="s">
        <v>8</v>
      </c>
      <c r="E827" t="s">
        <v>25</v>
      </c>
      <c r="F827">
        <v>2642.55</v>
      </c>
      <c r="G827">
        <v>325.68</v>
      </c>
    </row>
    <row r="828" spans="1:7" x14ac:dyDescent="0.35">
      <c r="A828" t="s">
        <v>1417</v>
      </c>
      <c r="B828" s="1" t="s">
        <v>226</v>
      </c>
      <c r="C828" s="2">
        <f t="shared" si="12"/>
        <v>43220</v>
      </c>
      <c r="D828" t="s">
        <v>16</v>
      </c>
      <c r="E828" t="s">
        <v>9</v>
      </c>
      <c r="F828">
        <v>4783.0200000000004</v>
      </c>
      <c r="G828">
        <v>653.26</v>
      </c>
    </row>
    <row r="829" spans="1:7" x14ac:dyDescent="0.35">
      <c r="A829" t="s">
        <v>1418</v>
      </c>
      <c r="B829" s="1" t="s">
        <v>479</v>
      </c>
      <c r="C829" s="2">
        <f t="shared" si="12"/>
        <v>43008</v>
      </c>
      <c r="D829" t="s">
        <v>8</v>
      </c>
      <c r="E829" t="s">
        <v>9</v>
      </c>
      <c r="F829">
        <v>3599.38</v>
      </c>
      <c r="G829">
        <v>404.3</v>
      </c>
    </row>
    <row r="830" spans="1:7" x14ac:dyDescent="0.35">
      <c r="A830" t="s">
        <v>1419</v>
      </c>
      <c r="B830" s="1" t="s">
        <v>710</v>
      </c>
      <c r="C830" s="2">
        <f t="shared" si="12"/>
        <v>42429</v>
      </c>
      <c r="D830" t="s">
        <v>16</v>
      </c>
      <c r="E830" t="s">
        <v>9</v>
      </c>
      <c r="F830">
        <v>3737.35</v>
      </c>
      <c r="G830">
        <v>866.88</v>
      </c>
    </row>
    <row r="831" spans="1:7" x14ac:dyDescent="0.35">
      <c r="A831" t="s">
        <v>1420</v>
      </c>
      <c r="B831" s="1" t="s">
        <v>822</v>
      </c>
      <c r="C831" s="2">
        <f t="shared" si="12"/>
        <v>43039</v>
      </c>
      <c r="D831" t="s">
        <v>16</v>
      </c>
      <c r="E831" t="s">
        <v>25</v>
      </c>
      <c r="F831">
        <v>307.61</v>
      </c>
      <c r="G831">
        <v>89.04</v>
      </c>
    </row>
    <row r="832" spans="1:7" x14ac:dyDescent="0.35">
      <c r="A832" t="s">
        <v>1421</v>
      </c>
      <c r="B832" s="1" t="s">
        <v>100</v>
      </c>
      <c r="C832" s="2">
        <f t="shared" si="12"/>
        <v>43312</v>
      </c>
      <c r="D832" t="s">
        <v>37</v>
      </c>
      <c r="E832" t="s">
        <v>13</v>
      </c>
      <c r="F832">
        <v>1089.42</v>
      </c>
      <c r="G832">
        <v>310.57</v>
      </c>
    </row>
    <row r="833" spans="1:7" x14ac:dyDescent="0.35">
      <c r="A833" t="s">
        <v>1422</v>
      </c>
      <c r="B833" s="1" t="s">
        <v>1423</v>
      </c>
      <c r="C833" s="2">
        <f t="shared" si="12"/>
        <v>43251</v>
      </c>
      <c r="D833" t="s">
        <v>16</v>
      </c>
      <c r="E833" t="s">
        <v>25</v>
      </c>
      <c r="F833">
        <v>4730.5600000000004</v>
      </c>
      <c r="G833">
        <v>257.52</v>
      </c>
    </row>
    <row r="834" spans="1:7" x14ac:dyDescent="0.35">
      <c r="A834" t="s">
        <v>1424</v>
      </c>
      <c r="B834" s="1" t="s">
        <v>1425</v>
      </c>
      <c r="C834" s="2">
        <f t="shared" si="12"/>
        <v>42794</v>
      </c>
      <c r="D834" t="s">
        <v>16</v>
      </c>
      <c r="E834" t="s">
        <v>9</v>
      </c>
      <c r="F834">
        <v>4680.9399999999996</v>
      </c>
      <c r="G834">
        <v>804.15</v>
      </c>
    </row>
    <row r="835" spans="1:7" x14ac:dyDescent="0.35">
      <c r="A835" t="s">
        <v>1426</v>
      </c>
      <c r="B835" s="1" t="s">
        <v>1427</v>
      </c>
      <c r="C835" s="2">
        <f t="shared" ref="C835:C898" si="13">EOMONTH(B835,0)</f>
        <v>42735</v>
      </c>
      <c r="D835" t="s">
        <v>12</v>
      </c>
      <c r="E835" t="s">
        <v>9</v>
      </c>
      <c r="F835">
        <v>552.24</v>
      </c>
      <c r="G835">
        <v>62.96</v>
      </c>
    </row>
    <row r="836" spans="1:7" x14ac:dyDescent="0.35">
      <c r="A836" t="s">
        <v>1428</v>
      </c>
      <c r="B836" s="1" t="s">
        <v>1429</v>
      </c>
      <c r="C836" s="2">
        <f t="shared" si="13"/>
        <v>43190</v>
      </c>
      <c r="D836" t="s">
        <v>16</v>
      </c>
      <c r="E836" t="s">
        <v>13</v>
      </c>
      <c r="F836">
        <v>4186.9399999999996</v>
      </c>
      <c r="G836">
        <v>738.66</v>
      </c>
    </row>
    <row r="837" spans="1:7" x14ac:dyDescent="0.35">
      <c r="A837" t="s">
        <v>1430</v>
      </c>
      <c r="B837" s="1" t="s">
        <v>1090</v>
      </c>
      <c r="C837" s="2">
        <f t="shared" si="13"/>
        <v>42916</v>
      </c>
      <c r="D837" t="s">
        <v>37</v>
      </c>
      <c r="E837" t="s">
        <v>13</v>
      </c>
      <c r="F837">
        <v>3425.97</v>
      </c>
      <c r="G837">
        <v>632.82000000000005</v>
      </c>
    </row>
    <row r="838" spans="1:7" x14ac:dyDescent="0.35">
      <c r="A838" t="s">
        <v>1431</v>
      </c>
      <c r="B838" s="1" t="s">
        <v>1187</v>
      </c>
      <c r="C838" s="2">
        <f t="shared" si="13"/>
        <v>42825</v>
      </c>
      <c r="D838" t="s">
        <v>8</v>
      </c>
      <c r="E838" t="s">
        <v>13</v>
      </c>
      <c r="F838">
        <v>3851.14</v>
      </c>
      <c r="G838">
        <v>657.82</v>
      </c>
    </row>
    <row r="839" spans="1:7" x14ac:dyDescent="0.35">
      <c r="A839" t="s">
        <v>1432</v>
      </c>
      <c r="B839" s="1" t="s">
        <v>136</v>
      </c>
      <c r="C839" s="2">
        <f t="shared" si="13"/>
        <v>42521</v>
      </c>
      <c r="D839" t="s">
        <v>37</v>
      </c>
      <c r="E839" t="s">
        <v>25</v>
      </c>
      <c r="F839">
        <v>3387.44</v>
      </c>
      <c r="G839">
        <v>351.5</v>
      </c>
    </row>
    <row r="840" spans="1:7" x14ac:dyDescent="0.35">
      <c r="A840" t="s">
        <v>1433</v>
      </c>
      <c r="B840" s="1" t="s">
        <v>622</v>
      </c>
      <c r="C840" s="2">
        <f t="shared" si="13"/>
        <v>42613</v>
      </c>
      <c r="D840" t="s">
        <v>8</v>
      </c>
      <c r="E840" t="s">
        <v>25</v>
      </c>
      <c r="F840">
        <v>3183.38</v>
      </c>
      <c r="G840">
        <v>308.14999999999998</v>
      </c>
    </row>
    <row r="841" spans="1:7" x14ac:dyDescent="0.35">
      <c r="A841" t="s">
        <v>1434</v>
      </c>
      <c r="B841" s="1" t="s">
        <v>1435</v>
      </c>
      <c r="C841" s="2">
        <f t="shared" si="13"/>
        <v>42643</v>
      </c>
      <c r="D841" t="s">
        <v>8</v>
      </c>
      <c r="E841" t="s">
        <v>25</v>
      </c>
      <c r="F841">
        <v>2922.3</v>
      </c>
      <c r="G841">
        <v>575.1</v>
      </c>
    </row>
    <row r="842" spans="1:7" x14ac:dyDescent="0.35">
      <c r="A842" t="s">
        <v>1436</v>
      </c>
      <c r="B842" s="1" t="s">
        <v>1437</v>
      </c>
      <c r="C842" s="2">
        <f t="shared" si="13"/>
        <v>43251</v>
      </c>
      <c r="D842" t="s">
        <v>16</v>
      </c>
      <c r="E842" t="s">
        <v>25</v>
      </c>
      <c r="F842">
        <v>665.04</v>
      </c>
      <c r="G842">
        <v>163.68</v>
      </c>
    </row>
    <row r="843" spans="1:7" x14ac:dyDescent="0.35">
      <c r="A843" t="s">
        <v>1438</v>
      </c>
      <c r="B843" s="1" t="s">
        <v>232</v>
      </c>
      <c r="C843" s="2">
        <f t="shared" si="13"/>
        <v>42766</v>
      </c>
      <c r="D843" t="s">
        <v>12</v>
      </c>
      <c r="E843" t="s">
        <v>9</v>
      </c>
      <c r="F843">
        <v>266.61</v>
      </c>
      <c r="G843">
        <v>22.5</v>
      </c>
    </row>
    <row r="844" spans="1:7" x14ac:dyDescent="0.35">
      <c r="A844" t="s">
        <v>1439</v>
      </c>
      <c r="B844" s="1" t="s">
        <v>92</v>
      </c>
      <c r="C844" s="2">
        <f t="shared" si="13"/>
        <v>42735</v>
      </c>
      <c r="D844" t="s">
        <v>8</v>
      </c>
      <c r="E844" t="s">
        <v>25</v>
      </c>
      <c r="F844">
        <v>583.39</v>
      </c>
      <c r="G844">
        <v>45.39</v>
      </c>
    </row>
    <row r="845" spans="1:7" x14ac:dyDescent="0.35">
      <c r="A845" t="s">
        <v>1440</v>
      </c>
      <c r="B845" s="1" t="s">
        <v>684</v>
      </c>
      <c r="C845" s="2">
        <f t="shared" si="13"/>
        <v>43159</v>
      </c>
      <c r="D845" t="s">
        <v>16</v>
      </c>
      <c r="E845" t="s">
        <v>13</v>
      </c>
      <c r="F845">
        <v>1868.79</v>
      </c>
      <c r="G845">
        <v>455.55</v>
      </c>
    </row>
    <row r="846" spans="1:7" x14ac:dyDescent="0.35">
      <c r="A846" t="s">
        <v>1441</v>
      </c>
      <c r="B846" s="1" t="s">
        <v>1442</v>
      </c>
      <c r="C846" s="2">
        <f t="shared" si="13"/>
        <v>42551</v>
      </c>
      <c r="D846" t="s">
        <v>8</v>
      </c>
      <c r="E846" t="s">
        <v>25</v>
      </c>
      <c r="F846">
        <v>3981.11</v>
      </c>
      <c r="G846">
        <v>704.85</v>
      </c>
    </row>
    <row r="847" spans="1:7" x14ac:dyDescent="0.35">
      <c r="A847" t="s">
        <v>1443</v>
      </c>
      <c r="B847" s="1" t="s">
        <v>1348</v>
      </c>
      <c r="C847" s="2">
        <f t="shared" si="13"/>
        <v>43251</v>
      </c>
      <c r="D847" t="s">
        <v>8</v>
      </c>
      <c r="E847" t="s">
        <v>25</v>
      </c>
      <c r="F847">
        <v>1254.53</v>
      </c>
      <c r="G847">
        <v>307.08999999999997</v>
      </c>
    </row>
    <row r="848" spans="1:7" x14ac:dyDescent="0.35">
      <c r="A848" t="s">
        <v>1444</v>
      </c>
      <c r="B848" s="1" t="s">
        <v>1445</v>
      </c>
      <c r="C848" s="2">
        <f t="shared" si="13"/>
        <v>43281</v>
      </c>
      <c r="D848" t="s">
        <v>37</v>
      </c>
      <c r="E848" t="s">
        <v>9</v>
      </c>
      <c r="F848">
        <v>4843.7299999999996</v>
      </c>
      <c r="G848">
        <v>1152.57</v>
      </c>
    </row>
    <row r="849" spans="1:7" x14ac:dyDescent="0.35">
      <c r="A849" t="s">
        <v>1446</v>
      </c>
      <c r="B849" s="1" t="s">
        <v>1131</v>
      </c>
      <c r="C849" s="2">
        <f t="shared" si="13"/>
        <v>42429</v>
      </c>
      <c r="D849" t="s">
        <v>12</v>
      </c>
      <c r="E849" t="s">
        <v>9</v>
      </c>
      <c r="F849">
        <v>2743.13</v>
      </c>
      <c r="G849">
        <v>760.57</v>
      </c>
    </row>
    <row r="850" spans="1:7" x14ac:dyDescent="0.35">
      <c r="A850" t="s">
        <v>1447</v>
      </c>
      <c r="B850" s="1" t="s">
        <v>1448</v>
      </c>
      <c r="C850" s="2">
        <f t="shared" si="13"/>
        <v>43251</v>
      </c>
      <c r="D850" t="s">
        <v>8</v>
      </c>
      <c r="E850" t="s">
        <v>25</v>
      </c>
      <c r="F850">
        <v>4065.9</v>
      </c>
      <c r="G850">
        <v>514.69000000000005</v>
      </c>
    </row>
    <row r="851" spans="1:7" x14ac:dyDescent="0.35">
      <c r="A851" t="s">
        <v>1449</v>
      </c>
      <c r="B851" s="1" t="s">
        <v>1450</v>
      </c>
      <c r="C851" s="2">
        <f t="shared" si="13"/>
        <v>43039</v>
      </c>
      <c r="D851" t="s">
        <v>8</v>
      </c>
      <c r="E851" t="s">
        <v>25</v>
      </c>
      <c r="F851">
        <v>3510.62</v>
      </c>
      <c r="G851">
        <v>176.79</v>
      </c>
    </row>
    <row r="852" spans="1:7" x14ac:dyDescent="0.35">
      <c r="A852" t="s">
        <v>1451</v>
      </c>
      <c r="B852" s="1" t="s">
        <v>1076</v>
      </c>
      <c r="C852" s="2">
        <f t="shared" si="13"/>
        <v>43220</v>
      </c>
      <c r="D852" t="s">
        <v>16</v>
      </c>
      <c r="E852" t="s">
        <v>13</v>
      </c>
      <c r="F852">
        <v>2483.4499999999998</v>
      </c>
      <c r="G852">
        <v>414.68</v>
      </c>
    </row>
    <row r="853" spans="1:7" x14ac:dyDescent="0.35">
      <c r="A853" t="s">
        <v>1452</v>
      </c>
      <c r="B853" s="1" t="s">
        <v>405</v>
      </c>
      <c r="C853" s="2">
        <f t="shared" si="13"/>
        <v>42947</v>
      </c>
      <c r="D853" t="s">
        <v>12</v>
      </c>
      <c r="E853" t="s">
        <v>13</v>
      </c>
      <c r="F853">
        <v>4744.18</v>
      </c>
      <c r="G853">
        <v>385.91</v>
      </c>
    </row>
    <row r="854" spans="1:7" x14ac:dyDescent="0.35">
      <c r="A854" t="s">
        <v>1453</v>
      </c>
      <c r="B854" s="1" t="s">
        <v>1454</v>
      </c>
      <c r="C854" s="2">
        <f t="shared" si="13"/>
        <v>43343</v>
      </c>
      <c r="D854" t="s">
        <v>37</v>
      </c>
      <c r="E854" t="s">
        <v>25</v>
      </c>
      <c r="F854">
        <v>2256.0500000000002</v>
      </c>
      <c r="G854">
        <v>537.26</v>
      </c>
    </row>
    <row r="855" spans="1:7" x14ac:dyDescent="0.35">
      <c r="A855" t="s">
        <v>1455</v>
      </c>
      <c r="B855" s="1" t="s">
        <v>250</v>
      </c>
      <c r="C855" s="2">
        <f t="shared" si="13"/>
        <v>42643</v>
      </c>
      <c r="D855" t="s">
        <v>12</v>
      </c>
      <c r="E855" t="s">
        <v>25</v>
      </c>
      <c r="F855">
        <v>1384.35</v>
      </c>
      <c r="G855">
        <v>180.5</v>
      </c>
    </row>
    <row r="856" spans="1:7" x14ac:dyDescent="0.35">
      <c r="A856" t="s">
        <v>1456</v>
      </c>
      <c r="B856" s="1" t="s">
        <v>1457</v>
      </c>
      <c r="C856" s="2">
        <f t="shared" si="13"/>
        <v>43069</v>
      </c>
      <c r="D856" t="s">
        <v>8</v>
      </c>
      <c r="E856" t="s">
        <v>25</v>
      </c>
      <c r="F856">
        <v>1708.04</v>
      </c>
      <c r="G856">
        <v>326.66000000000003</v>
      </c>
    </row>
    <row r="857" spans="1:7" x14ac:dyDescent="0.35">
      <c r="A857" t="s">
        <v>1458</v>
      </c>
      <c r="B857" s="1" t="s">
        <v>77</v>
      </c>
      <c r="C857" s="2">
        <f t="shared" si="13"/>
        <v>42521</v>
      </c>
      <c r="D857" t="s">
        <v>12</v>
      </c>
      <c r="E857" t="s">
        <v>25</v>
      </c>
      <c r="F857">
        <v>3128.46</v>
      </c>
      <c r="G857">
        <v>724.26</v>
      </c>
    </row>
    <row r="858" spans="1:7" x14ac:dyDescent="0.35">
      <c r="A858" t="s">
        <v>1459</v>
      </c>
      <c r="B858" s="1" t="s">
        <v>877</v>
      </c>
      <c r="C858" s="2">
        <f t="shared" si="13"/>
        <v>42916</v>
      </c>
      <c r="D858" t="s">
        <v>16</v>
      </c>
      <c r="E858" t="s">
        <v>13</v>
      </c>
      <c r="F858">
        <v>2896.76</v>
      </c>
      <c r="G858">
        <v>657.55</v>
      </c>
    </row>
    <row r="859" spans="1:7" x14ac:dyDescent="0.35">
      <c r="A859" t="s">
        <v>1460</v>
      </c>
      <c r="B859" s="1" t="s">
        <v>71</v>
      </c>
      <c r="C859" s="2">
        <f t="shared" si="13"/>
        <v>42582</v>
      </c>
      <c r="D859" t="s">
        <v>37</v>
      </c>
      <c r="E859" t="s">
        <v>9</v>
      </c>
      <c r="F859">
        <v>2562.85</v>
      </c>
      <c r="G859">
        <v>325.87</v>
      </c>
    </row>
    <row r="860" spans="1:7" x14ac:dyDescent="0.35">
      <c r="A860" t="s">
        <v>1461</v>
      </c>
      <c r="B860" s="1" t="s">
        <v>1462</v>
      </c>
      <c r="C860" s="2">
        <f t="shared" si="13"/>
        <v>43008</v>
      </c>
      <c r="D860" t="s">
        <v>37</v>
      </c>
      <c r="E860" t="s">
        <v>13</v>
      </c>
      <c r="F860">
        <v>513.09</v>
      </c>
      <c r="G860">
        <v>41.3</v>
      </c>
    </row>
    <row r="861" spans="1:7" x14ac:dyDescent="0.35">
      <c r="A861" t="s">
        <v>1463</v>
      </c>
      <c r="B861" s="1" t="s">
        <v>369</v>
      </c>
      <c r="C861" s="2">
        <f t="shared" si="13"/>
        <v>43159</v>
      </c>
      <c r="D861" t="s">
        <v>12</v>
      </c>
      <c r="E861" t="s">
        <v>13</v>
      </c>
      <c r="F861">
        <v>2410.0700000000002</v>
      </c>
      <c r="G861">
        <v>717.65</v>
      </c>
    </row>
    <row r="862" spans="1:7" x14ac:dyDescent="0.35">
      <c r="A862" t="s">
        <v>1464</v>
      </c>
      <c r="B862" s="1" t="s">
        <v>1404</v>
      </c>
      <c r="C862" s="2">
        <f t="shared" si="13"/>
        <v>42551</v>
      </c>
      <c r="D862" t="s">
        <v>12</v>
      </c>
      <c r="E862" t="s">
        <v>25</v>
      </c>
      <c r="F862">
        <v>2022.8</v>
      </c>
      <c r="G862">
        <v>166.02</v>
      </c>
    </row>
    <row r="863" spans="1:7" x14ac:dyDescent="0.35">
      <c r="A863" t="s">
        <v>1465</v>
      </c>
      <c r="B863" s="1" t="s">
        <v>700</v>
      </c>
      <c r="C863" s="2">
        <f t="shared" si="13"/>
        <v>42825</v>
      </c>
      <c r="D863" t="s">
        <v>12</v>
      </c>
      <c r="E863" t="s">
        <v>13</v>
      </c>
      <c r="F863">
        <v>930.64</v>
      </c>
      <c r="G863">
        <v>160.1</v>
      </c>
    </row>
    <row r="864" spans="1:7" x14ac:dyDescent="0.35">
      <c r="A864" t="s">
        <v>1466</v>
      </c>
      <c r="B864" s="1" t="s">
        <v>1367</v>
      </c>
      <c r="C864" s="2">
        <f t="shared" si="13"/>
        <v>42735</v>
      </c>
      <c r="D864" t="s">
        <v>8</v>
      </c>
      <c r="E864" t="s">
        <v>9</v>
      </c>
      <c r="F864">
        <v>2866.25</v>
      </c>
      <c r="G864">
        <v>466.43</v>
      </c>
    </row>
    <row r="865" spans="1:7" x14ac:dyDescent="0.35">
      <c r="A865" t="s">
        <v>1467</v>
      </c>
      <c r="B865" s="1" t="s">
        <v>423</v>
      </c>
      <c r="C865" s="2">
        <f t="shared" si="13"/>
        <v>43251</v>
      </c>
      <c r="D865" t="s">
        <v>12</v>
      </c>
      <c r="E865" t="s">
        <v>9</v>
      </c>
      <c r="F865">
        <v>2435.59</v>
      </c>
      <c r="G865">
        <v>191.72</v>
      </c>
    </row>
    <row r="866" spans="1:7" x14ac:dyDescent="0.35">
      <c r="A866" t="s">
        <v>1468</v>
      </c>
      <c r="B866" s="1" t="s">
        <v>280</v>
      </c>
      <c r="C866" s="2">
        <f t="shared" si="13"/>
        <v>42460</v>
      </c>
      <c r="D866" t="s">
        <v>16</v>
      </c>
      <c r="E866" t="s">
        <v>13</v>
      </c>
      <c r="F866">
        <v>3963.81</v>
      </c>
      <c r="G866">
        <v>490.33</v>
      </c>
    </row>
    <row r="867" spans="1:7" x14ac:dyDescent="0.35">
      <c r="A867" t="s">
        <v>1469</v>
      </c>
      <c r="B867" s="1" t="s">
        <v>263</v>
      </c>
      <c r="C867" s="2">
        <f t="shared" si="13"/>
        <v>42521</v>
      </c>
      <c r="D867" t="s">
        <v>8</v>
      </c>
      <c r="E867" t="s">
        <v>9</v>
      </c>
      <c r="F867">
        <v>992.95</v>
      </c>
      <c r="G867">
        <v>150.55000000000001</v>
      </c>
    </row>
    <row r="868" spans="1:7" x14ac:dyDescent="0.35">
      <c r="A868" t="s">
        <v>1470</v>
      </c>
      <c r="B868" s="1" t="s">
        <v>1471</v>
      </c>
      <c r="C868" s="2">
        <f t="shared" si="13"/>
        <v>42400</v>
      </c>
      <c r="D868" t="s">
        <v>8</v>
      </c>
      <c r="E868" t="s">
        <v>9</v>
      </c>
      <c r="F868">
        <v>114.39</v>
      </c>
      <c r="G868">
        <v>9.92</v>
      </c>
    </row>
    <row r="869" spans="1:7" x14ac:dyDescent="0.35">
      <c r="A869" t="s">
        <v>1472</v>
      </c>
      <c r="B869" s="1" t="s">
        <v>1473</v>
      </c>
      <c r="C869" s="2">
        <f t="shared" si="13"/>
        <v>42429</v>
      </c>
      <c r="D869" t="s">
        <v>37</v>
      </c>
      <c r="E869" t="s">
        <v>9</v>
      </c>
      <c r="F869">
        <v>1751.16</v>
      </c>
      <c r="G869">
        <v>150.13999999999999</v>
      </c>
    </row>
    <row r="870" spans="1:7" x14ac:dyDescent="0.35">
      <c r="A870" t="s">
        <v>1474</v>
      </c>
      <c r="B870" s="1" t="s">
        <v>1171</v>
      </c>
      <c r="C870" s="2">
        <f t="shared" si="13"/>
        <v>43100</v>
      </c>
      <c r="D870" t="s">
        <v>8</v>
      </c>
      <c r="E870" t="s">
        <v>25</v>
      </c>
      <c r="F870">
        <v>1994.31</v>
      </c>
      <c r="G870">
        <v>182.75</v>
      </c>
    </row>
    <row r="871" spans="1:7" x14ac:dyDescent="0.35">
      <c r="A871" t="s">
        <v>1475</v>
      </c>
      <c r="B871" s="1" t="s">
        <v>1476</v>
      </c>
      <c r="C871" s="2">
        <f t="shared" si="13"/>
        <v>43281</v>
      </c>
      <c r="D871" t="s">
        <v>12</v>
      </c>
      <c r="E871" t="s">
        <v>25</v>
      </c>
      <c r="F871">
        <v>3792.27</v>
      </c>
      <c r="G871">
        <v>266.27999999999997</v>
      </c>
    </row>
    <row r="872" spans="1:7" x14ac:dyDescent="0.35">
      <c r="A872" t="s">
        <v>1477</v>
      </c>
      <c r="B872" s="1" t="s">
        <v>1174</v>
      </c>
      <c r="C872" s="2">
        <f t="shared" si="13"/>
        <v>43100</v>
      </c>
      <c r="D872" t="s">
        <v>12</v>
      </c>
      <c r="E872" t="s">
        <v>25</v>
      </c>
      <c r="F872">
        <v>3086.79</v>
      </c>
      <c r="G872">
        <v>385.58</v>
      </c>
    </row>
    <row r="873" spans="1:7" x14ac:dyDescent="0.35">
      <c r="A873" t="s">
        <v>1478</v>
      </c>
      <c r="B873" s="1" t="s">
        <v>1479</v>
      </c>
      <c r="C873" s="2">
        <f t="shared" si="13"/>
        <v>42400</v>
      </c>
      <c r="D873" t="s">
        <v>16</v>
      </c>
      <c r="E873" t="s">
        <v>9</v>
      </c>
      <c r="F873">
        <v>4250.75</v>
      </c>
      <c r="G873">
        <v>700.76</v>
      </c>
    </row>
    <row r="874" spans="1:7" x14ac:dyDescent="0.35">
      <c r="A874" t="s">
        <v>1480</v>
      </c>
      <c r="B874" s="1" t="s">
        <v>812</v>
      </c>
      <c r="C874" s="2">
        <f t="shared" si="13"/>
        <v>42855</v>
      </c>
      <c r="D874" t="s">
        <v>37</v>
      </c>
      <c r="E874" t="s">
        <v>13</v>
      </c>
      <c r="F874">
        <v>1098.94</v>
      </c>
      <c r="G874">
        <v>202.93</v>
      </c>
    </row>
    <row r="875" spans="1:7" x14ac:dyDescent="0.35">
      <c r="A875" t="s">
        <v>1481</v>
      </c>
      <c r="B875" s="1" t="s">
        <v>1482</v>
      </c>
      <c r="C875" s="2">
        <f t="shared" si="13"/>
        <v>42551</v>
      </c>
      <c r="D875" t="s">
        <v>16</v>
      </c>
      <c r="E875" t="s">
        <v>25</v>
      </c>
      <c r="F875">
        <v>4326.4399999999996</v>
      </c>
      <c r="G875">
        <v>942.19</v>
      </c>
    </row>
    <row r="876" spans="1:7" x14ac:dyDescent="0.35">
      <c r="A876" t="s">
        <v>1483</v>
      </c>
      <c r="B876" s="1" t="s">
        <v>835</v>
      </c>
      <c r="C876" s="2">
        <f t="shared" si="13"/>
        <v>43281</v>
      </c>
      <c r="D876" t="s">
        <v>12</v>
      </c>
      <c r="E876" t="s">
        <v>9</v>
      </c>
      <c r="F876">
        <v>2111.4699999999998</v>
      </c>
      <c r="G876">
        <v>488.39</v>
      </c>
    </row>
    <row r="877" spans="1:7" x14ac:dyDescent="0.35">
      <c r="A877" t="s">
        <v>1484</v>
      </c>
      <c r="B877" s="1" t="s">
        <v>1485</v>
      </c>
      <c r="C877" s="2">
        <f t="shared" si="13"/>
        <v>42490</v>
      </c>
      <c r="D877" t="s">
        <v>16</v>
      </c>
      <c r="E877" t="s">
        <v>13</v>
      </c>
      <c r="F877">
        <v>3917.35</v>
      </c>
      <c r="G877">
        <v>282.2</v>
      </c>
    </row>
    <row r="878" spans="1:7" x14ac:dyDescent="0.35">
      <c r="A878" t="s">
        <v>1486</v>
      </c>
      <c r="B878" s="1" t="s">
        <v>494</v>
      </c>
      <c r="C878" s="2">
        <f t="shared" si="13"/>
        <v>42429</v>
      </c>
      <c r="D878" t="s">
        <v>16</v>
      </c>
      <c r="E878" t="s">
        <v>25</v>
      </c>
      <c r="F878">
        <v>2396.9299999999998</v>
      </c>
      <c r="G878">
        <v>473.4</v>
      </c>
    </row>
    <row r="879" spans="1:7" x14ac:dyDescent="0.35">
      <c r="A879" t="s">
        <v>1487</v>
      </c>
      <c r="B879" s="1" t="s">
        <v>470</v>
      </c>
      <c r="C879" s="2">
        <f t="shared" si="13"/>
        <v>42643</v>
      </c>
      <c r="D879" t="s">
        <v>37</v>
      </c>
      <c r="E879" t="s">
        <v>9</v>
      </c>
      <c r="F879">
        <v>4319.93</v>
      </c>
      <c r="G879">
        <v>527.20000000000005</v>
      </c>
    </row>
    <row r="880" spans="1:7" x14ac:dyDescent="0.35">
      <c r="A880" t="s">
        <v>1488</v>
      </c>
      <c r="B880" s="1" t="s">
        <v>1295</v>
      </c>
      <c r="C880" s="2">
        <f t="shared" si="13"/>
        <v>42613</v>
      </c>
      <c r="D880" t="s">
        <v>37</v>
      </c>
      <c r="E880" t="s">
        <v>13</v>
      </c>
      <c r="F880">
        <v>4254.8500000000004</v>
      </c>
      <c r="G880">
        <v>965.49</v>
      </c>
    </row>
    <row r="881" spans="1:7" x14ac:dyDescent="0.35">
      <c r="A881" t="s">
        <v>1489</v>
      </c>
      <c r="B881" s="1" t="s">
        <v>193</v>
      </c>
      <c r="C881" s="2">
        <f t="shared" si="13"/>
        <v>43281</v>
      </c>
      <c r="D881" t="s">
        <v>12</v>
      </c>
      <c r="E881" t="s">
        <v>9</v>
      </c>
      <c r="F881">
        <v>4873.96</v>
      </c>
      <c r="G881">
        <v>483.37</v>
      </c>
    </row>
    <row r="882" spans="1:7" x14ac:dyDescent="0.35">
      <c r="A882" t="s">
        <v>1490</v>
      </c>
      <c r="B882" s="1" t="s">
        <v>1491</v>
      </c>
      <c r="C882" s="2">
        <f t="shared" si="13"/>
        <v>42613</v>
      </c>
      <c r="D882" t="s">
        <v>8</v>
      </c>
      <c r="E882" t="s">
        <v>13</v>
      </c>
      <c r="F882">
        <v>1457.57</v>
      </c>
      <c r="G882">
        <v>123.49</v>
      </c>
    </row>
    <row r="883" spans="1:7" x14ac:dyDescent="0.35">
      <c r="A883" t="s">
        <v>1492</v>
      </c>
      <c r="B883" s="1" t="s">
        <v>779</v>
      </c>
      <c r="C883" s="2">
        <f t="shared" si="13"/>
        <v>43039</v>
      </c>
      <c r="D883" t="s">
        <v>8</v>
      </c>
      <c r="E883" t="s">
        <v>9</v>
      </c>
      <c r="F883">
        <v>4706.95</v>
      </c>
      <c r="G883">
        <v>1263.69</v>
      </c>
    </row>
    <row r="884" spans="1:7" x14ac:dyDescent="0.35">
      <c r="A884" t="s">
        <v>1493</v>
      </c>
      <c r="B884" s="1" t="s">
        <v>142</v>
      </c>
      <c r="C884" s="2">
        <f t="shared" si="13"/>
        <v>43343</v>
      </c>
      <c r="D884" t="s">
        <v>37</v>
      </c>
      <c r="E884" t="s">
        <v>13</v>
      </c>
      <c r="F884">
        <v>3666.64</v>
      </c>
      <c r="G884">
        <v>431.07</v>
      </c>
    </row>
    <row r="885" spans="1:7" x14ac:dyDescent="0.35">
      <c r="A885" t="s">
        <v>1494</v>
      </c>
      <c r="B885" s="1" t="s">
        <v>1495</v>
      </c>
      <c r="C885" s="2">
        <f t="shared" si="13"/>
        <v>42704</v>
      </c>
      <c r="D885" t="s">
        <v>16</v>
      </c>
      <c r="E885" t="s">
        <v>25</v>
      </c>
      <c r="F885">
        <v>3439.84</v>
      </c>
      <c r="G885">
        <v>865.9</v>
      </c>
    </row>
    <row r="886" spans="1:7" x14ac:dyDescent="0.35">
      <c r="A886" t="s">
        <v>1496</v>
      </c>
      <c r="B886" s="1" t="s">
        <v>1497</v>
      </c>
      <c r="C886" s="2">
        <f t="shared" si="13"/>
        <v>43100</v>
      </c>
      <c r="D886" t="s">
        <v>12</v>
      </c>
      <c r="E886" t="s">
        <v>25</v>
      </c>
      <c r="F886">
        <v>349.97</v>
      </c>
      <c r="G886">
        <v>91.37</v>
      </c>
    </row>
    <row r="887" spans="1:7" x14ac:dyDescent="0.35">
      <c r="A887" t="s">
        <v>1498</v>
      </c>
      <c r="B887" s="1" t="s">
        <v>1499</v>
      </c>
      <c r="C887" s="2">
        <f t="shared" si="13"/>
        <v>42490</v>
      </c>
      <c r="D887" t="s">
        <v>8</v>
      </c>
      <c r="E887" t="s">
        <v>9</v>
      </c>
      <c r="F887">
        <v>2418.81</v>
      </c>
      <c r="G887">
        <v>282.60000000000002</v>
      </c>
    </row>
    <row r="888" spans="1:7" x14ac:dyDescent="0.35">
      <c r="A888" t="s">
        <v>1500</v>
      </c>
      <c r="B888" s="1" t="s">
        <v>783</v>
      </c>
      <c r="C888" s="2">
        <f t="shared" si="13"/>
        <v>43008</v>
      </c>
      <c r="D888" t="s">
        <v>37</v>
      </c>
      <c r="E888" t="s">
        <v>13</v>
      </c>
      <c r="F888">
        <v>1678</v>
      </c>
      <c r="G888">
        <v>398.02</v>
      </c>
    </row>
    <row r="889" spans="1:7" x14ac:dyDescent="0.35">
      <c r="A889" t="s">
        <v>1501</v>
      </c>
      <c r="B889" s="1" t="s">
        <v>510</v>
      </c>
      <c r="C889" s="2">
        <f t="shared" si="13"/>
        <v>42521</v>
      </c>
      <c r="D889" t="s">
        <v>8</v>
      </c>
      <c r="E889" t="s">
        <v>13</v>
      </c>
      <c r="F889">
        <v>1560.4</v>
      </c>
      <c r="G889">
        <v>267.72000000000003</v>
      </c>
    </row>
    <row r="890" spans="1:7" x14ac:dyDescent="0.35">
      <c r="A890" t="s">
        <v>1502</v>
      </c>
      <c r="B890" s="1" t="s">
        <v>533</v>
      </c>
      <c r="C890" s="2">
        <f t="shared" si="13"/>
        <v>43008</v>
      </c>
      <c r="D890" t="s">
        <v>16</v>
      </c>
      <c r="E890" t="s">
        <v>13</v>
      </c>
      <c r="F890">
        <v>3501.9</v>
      </c>
      <c r="G890">
        <v>414.03</v>
      </c>
    </row>
    <row r="891" spans="1:7" x14ac:dyDescent="0.35">
      <c r="A891" t="s">
        <v>1503</v>
      </c>
      <c r="B891" s="1" t="s">
        <v>736</v>
      </c>
      <c r="C891" s="2">
        <f t="shared" si="13"/>
        <v>43343</v>
      </c>
      <c r="D891" t="s">
        <v>16</v>
      </c>
      <c r="E891" t="s">
        <v>25</v>
      </c>
      <c r="F891">
        <v>3208.6</v>
      </c>
      <c r="G891">
        <v>642.95000000000005</v>
      </c>
    </row>
    <row r="892" spans="1:7" x14ac:dyDescent="0.35">
      <c r="A892" t="s">
        <v>1504</v>
      </c>
      <c r="B892" s="1" t="s">
        <v>1505</v>
      </c>
      <c r="C892" s="2">
        <f t="shared" si="13"/>
        <v>43008</v>
      </c>
      <c r="D892" t="s">
        <v>8</v>
      </c>
      <c r="E892" t="s">
        <v>13</v>
      </c>
      <c r="F892">
        <v>4467.97</v>
      </c>
      <c r="G892">
        <v>1258.73</v>
      </c>
    </row>
    <row r="893" spans="1:7" x14ac:dyDescent="0.35">
      <c r="A893" t="s">
        <v>1506</v>
      </c>
      <c r="B893" s="1" t="s">
        <v>1171</v>
      </c>
      <c r="C893" s="2">
        <f t="shared" si="13"/>
        <v>43100</v>
      </c>
      <c r="D893" t="s">
        <v>8</v>
      </c>
      <c r="E893" t="s">
        <v>13</v>
      </c>
      <c r="F893">
        <v>785.03</v>
      </c>
      <c r="G893">
        <v>132.21</v>
      </c>
    </row>
    <row r="894" spans="1:7" x14ac:dyDescent="0.35">
      <c r="A894" t="s">
        <v>1507</v>
      </c>
      <c r="B894" s="1" t="s">
        <v>1508</v>
      </c>
      <c r="C894" s="2">
        <f t="shared" si="13"/>
        <v>43131</v>
      </c>
      <c r="D894" t="s">
        <v>16</v>
      </c>
      <c r="E894" t="s">
        <v>25</v>
      </c>
      <c r="F894">
        <v>2379.79</v>
      </c>
      <c r="G894">
        <v>176.93</v>
      </c>
    </row>
    <row r="895" spans="1:7" x14ac:dyDescent="0.35">
      <c r="A895" t="s">
        <v>1509</v>
      </c>
      <c r="B895" s="1" t="s">
        <v>816</v>
      </c>
      <c r="C895" s="2">
        <f t="shared" si="13"/>
        <v>42521</v>
      </c>
      <c r="D895" t="s">
        <v>12</v>
      </c>
      <c r="E895" t="s">
        <v>13</v>
      </c>
      <c r="F895">
        <v>3200.69</v>
      </c>
      <c r="G895">
        <v>951.87</v>
      </c>
    </row>
    <row r="896" spans="1:7" x14ac:dyDescent="0.35">
      <c r="A896" t="s">
        <v>1510</v>
      </c>
      <c r="B896" s="1" t="s">
        <v>638</v>
      </c>
      <c r="C896" s="2">
        <f t="shared" si="13"/>
        <v>42978</v>
      </c>
      <c r="D896" t="s">
        <v>16</v>
      </c>
      <c r="E896" t="s">
        <v>9</v>
      </c>
      <c r="F896">
        <v>324.74</v>
      </c>
      <c r="G896">
        <v>63.75</v>
      </c>
    </row>
    <row r="897" spans="1:7" x14ac:dyDescent="0.35">
      <c r="A897" t="s">
        <v>1511</v>
      </c>
      <c r="B897" s="1" t="s">
        <v>1378</v>
      </c>
      <c r="C897" s="2">
        <f t="shared" si="13"/>
        <v>43281</v>
      </c>
      <c r="D897" t="s">
        <v>37</v>
      </c>
      <c r="E897" t="s">
        <v>9</v>
      </c>
      <c r="F897">
        <v>4158.12</v>
      </c>
      <c r="G897">
        <v>1165.44</v>
      </c>
    </row>
    <row r="898" spans="1:7" x14ac:dyDescent="0.35">
      <c r="A898" t="s">
        <v>1512</v>
      </c>
      <c r="B898" s="1" t="s">
        <v>18</v>
      </c>
      <c r="C898" s="2">
        <f t="shared" si="13"/>
        <v>42978</v>
      </c>
      <c r="D898" t="s">
        <v>12</v>
      </c>
      <c r="E898" t="s">
        <v>9</v>
      </c>
      <c r="F898">
        <v>1561.54</v>
      </c>
      <c r="G898">
        <v>200.86</v>
      </c>
    </row>
    <row r="899" spans="1:7" x14ac:dyDescent="0.35">
      <c r="A899" t="s">
        <v>1513</v>
      </c>
      <c r="B899" s="1" t="s">
        <v>409</v>
      </c>
      <c r="C899" s="2">
        <f t="shared" ref="C899:C962" si="14">EOMONTH(B899,0)</f>
        <v>42886</v>
      </c>
      <c r="D899" t="s">
        <v>37</v>
      </c>
      <c r="E899" t="s">
        <v>13</v>
      </c>
      <c r="F899">
        <v>787.99</v>
      </c>
      <c r="G899">
        <v>168.22</v>
      </c>
    </row>
    <row r="900" spans="1:7" x14ac:dyDescent="0.35">
      <c r="A900" t="s">
        <v>1514</v>
      </c>
      <c r="B900" s="1" t="s">
        <v>1515</v>
      </c>
      <c r="C900" s="2">
        <f t="shared" si="14"/>
        <v>42978</v>
      </c>
      <c r="D900" t="s">
        <v>12</v>
      </c>
      <c r="E900" t="s">
        <v>25</v>
      </c>
      <c r="F900">
        <v>2805.2</v>
      </c>
      <c r="G900">
        <v>830.62</v>
      </c>
    </row>
    <row r="901" spans="1:7" x14ac:dyDescent="0.35">
      <c r="A901" t="s">
        <v>1516</v>
      </c>
      <c r="B901" s="1" t="s">
        <v>218</v>
      </c>
      <c r="C901" s="2">
        <f t="shared" si="14"/>
        <v>43131</v>
      </c>
      <c r="D901" t="s">
        <v>37</v>
      </c>
      <c r="E901" t="s">
        <v>9</v>
      </c>
      <c r="F901">
        <v>434.48</v>
      </c>
      <c r="G901">
        <v>43.09</v>
      </c>
    </row>
    <row r="902" spans="1:7" x14ac:dyDescent="0.35">
      <c r="A902" t="s">
        <v>1517</v>
      </c>
      <c r="B902" s="1" t="s">
        <v>1518</v>
      </c>
      <c r="C902" s="2">
        <f t="shared" si="14"/>
        <v>42947</v>
      </c>
      <c r="D902" t="s">
        <v>8</v>
      </c>
      <c r="E902" t="s">
        <v>25</v>
      </c>
      <c r="F902">
        <v>4140.84</v>
      </c>
      <c r="G902">
        <v>1033.81</v>
      </c>
    </row>
    <row r="903" spans="1:7" x14ac:dyDescent="0.35">
      <c r="A903" t="s">
        <v>1519</v>
      </c>
      <c r="B903" s="1" t="s">
        <v>199</v>
      </c>
      <c r="C903" s="2">
        <f t="shared" si="14"/>
        <v>42551</v>
      </c>
      <c r="D903" t="s">
        <v>8</v>
      </c>
      <c r="E903" t="s">
        <v>25</v>
      </c>
      <c r="F903">
        <v>1895.16</v>
      </c>
      <c r="G903">
        <v>396.17</v>
      </c>
    </row>
    <row r="904" spans="1:7" x14ac:dyDescent="0.35">
      <c r="A904" t="s">
        <v>1520</v>
      </c>
      <c r="B904" s="1" t="s">
        <v>1521</v>
      </c>
      <c r="C904" s="2">
        <f t="shared" si="14"/>
        <v>42613</v>
      </c>
      <c r="D904" t="s">
        <v>37</v>
      </c>
      <c r="E904" t="s">
        <v>13</v>
      </c>
      <c r="F904">
        <v>1149.98</v>
      </c>
      <c r="G904">
        <v>302.05</v>
      </c>
    </row>
    <row r="905" spans="1:7" x14ac:dyDescent="0.35">
      <c r="A905" t="s">
        <v>1522</v>
      </c>
      <c r="B905" s="1" t="s">
        <v>1448</v>
      </c>
      <c r="C905" s="2">
        <f t="shared" si="14"/>
        <v>43251</v>
      </c>
      <c r="D905" t="s">
        <v>16</v>
      </c>
      <c r="E905" t="s">
        <v>13</v>
      </c>
      <c r="F905">
        <v>1538.5</v>
      </c>
      <c r="G905">
        <v>232.74</v>
      </c>
    </row>
    <row r="906" spans="1:7" x14ac:dyDescent="0.35">
      <c r="A906" t="s">
        <v>1523</v>
      </c>
      <c r="B906" s="1" t="s">
        <v>1524</v>
      </c>
      <c r="C906" s="2">
        <f t="shared" si="14"/>
        <v>43312</v>
      </c>
      <c r="D906" t="s">
        <v>8</v>
      </c>
      <c r="E906" t="s">
        <v>9</v>
      </c>
      <c r="F906">
        <v>2607.2399999999998</v>
      </c>
      <c r="G906">
        <v>399.71</v>
      </c>
    </row>
    <row r="907" spans="1:7" x14ac:dyDescent="0.35">
      <c r="A907" t="s">
        <v>1525</v>
      </c>
      <c r="B907" s="1" t="s">
        <v>547</v>
      </c>
      <c r="C907" s="2">
        <f t="shared" si="14"/>
        <v>42643</v>
      </c>
      <c r="D907" t="s">
        <v>37</v>
      </c>
      <c r="E907" t="s">
        <v>13</v>
      </c>
      <c r="F907">
        <v>461.31</v>
      </c>
      <c r="G907">
        <v>24.06</v>
      </c>
    </row>
    <row r="908" spans="1:7" x14ac:dyDescent="0.35">
      <c r="A908" t="s">
        <v>1526</v>
      </c>
      <c r="B908" s="1" t="s">
        <v>1527</v>
      </c>
      <c r="C908" s="2">
        <f t="shared" si="14"/>
        <v>43312</v>
      </c>
      <c r="D908" t="s">
        <v>16</v>
      </c>
      <c r="E908" t="s">
        <v>13</v>
      </c>
      <c r="F908">
        <v>2247.09</v>
      </c>
      <c r="G908">
        <v>355.11</v>
      </c>
    </row>
    <row r="909" spans="1:7" x14ac:dyDescent="0.35">
      <c r="A909" t="s">
        <v>1528</v>
      </c>
      <c r="B909" s="1" t="s">
        <v>1529</v>
      </c>
      <c r="C909" s="2">
        <f t="shared" si="14"/>
        <v>43131</v>
      </c>
      <c r="D909" t="s">
        <v>37</v>
      </c>
      <c r="E909" t="s">
        <v>13</v>
      </c>
      <c r="F909">
        <v>2337.13</v>
      </c>
      <c r="G909">
        <v>699.89</v>
      </c>
    </row>
    <row r="910" spans="1:7" x14ac:dyDescent="0.35">
      <c r="A910" t="s">
        <v>1530</v>
      </c>
      <c r="B910" s="1" t="s">
        <v>1531</v>
      </c>
      <c r="C910" s="2">
        <f t="shared" si="14"/>
        <v>43159</v>
      </c>
      <c r="D910" t="s">
        <v>8</v>
      </c>
      <c r="E910" t="s">
        <v>9</v>
      </c>
      <c r="F910">
        <v>390.65</v>
      </c>
      <c r="G910">
        <v>116.59</v>
      </c>
    </row>
    <row r="911" spans="1:7" x14ac:dyDescent="0.35">
      <c r="A911" t="s">
        <v>1532</v>
      </c>
      <c r="B911" s="1" t="s">
        <v>1191</v>
      </c>
      <c r="C911" s="2">
        <f t="shared" si="14"/>
        <v>42947</v>
      </c>
      <c r="D911" t="s">
        <v>37</v>
      </c>
      <c r="E911" t="s">
        <v>9</v>
      </c>
      <c r="F911">
        <v>652.19000000000005</v>
      </c>
      <c r="G911">
        <v>50.45</v>
      </c>
    </row>
    <row r="912" spans="1:7" x14ac:dyDescent="0.35">
      <c r="A912" t="s">
        <v>1533</v>
      </c>
      <c r="B912" s="1" t="s">
        <v>943</v>
      </c>
      <c r="C912" s="2">
        <f t="shared" si="14"/>
        <v>42429</v>
      </c>
      <c r="D912" t="s">
        <v>8</v>
      </c>
      <c r="E912" t="s">
        <v>13</v>
      </c>
      <c r="F912">
        <v>1673.01</v>
      </c>
      <c r="G912">
        <v>253.89</v>
      </c>
    </row>
    <row r="913" spans="1:7" x14ac:dyDescent="0.35">
      <c r="A913" t="s">
        <v>1534</v>
      </c>
      <c r="B913" s="1" t="s">
        <v>1535</v>
      </c>
      <c r="C913" s="2">
        <f t="shared" si="14"/>
        <v>43343</v>
      </c>
      <c r="D913" t="s">
        <v>37</v>
      </c>
      <c r="E913" t="s">
        <v>13</v>
      </c>
      <c r="F913">
        <v>917.83</v>
      </c>
      <c r="G913">
        <v>209</v>
      </c>
    </row>
    <row r="914" spans="1:7" x14ac:dyDescent="0.35">
      <c r="A914" t="s">
        <v>1536</v>
      </c>
      <c r="B914" s="1" t="s">
        <v>1039</v>
      </c>
      <c r="C914" s="2">
        <f t="shared" si="14"/>
        <v>42521</v>
      </c>
      <c r="D914" t="s">
        <v>8</v>
      </c>
      <c r="E914" t="s">
        <v>25</v>
      </c>
      <c r="F914">
        <v>199.14</v>
      </c>
      <c r="G914">
        <v>27.39</v>
      </c>
    </row>
    <row r="915" spans="1:7" x14ac:dyDescent="0.35">
      <c r="A915" t="s">
        <v>1537</v>
      </c>
      <c r="B915" s="1" t="s">
        <v>1295</v>
      </c>
      <c r="C915" s="2">
        <f t="shared" si="14"/>
        <v>42613</v>
      </c>
      <c r="D915" t="s">
        <v>16</v>
      </c>
      <c r="E915" t="s">
        <v>13</v>
      </c>
      <c r="F915">
        <v>748.06</v>
      </c>
      <c r="G915">
        <v>101.66</v>
      </c>
    </row>
    <row r="916" spans="1:7" x14ac:dyDescent="0.35">
      <c r="A916" t="s">
        <v>1538</v>
      </c>
      <c r="B916" s="1" t="s">
        <v>355</v>
      </c>
      <c r="C916" s="2">
        <f t="shared" si="14"/>
        <v>43312</v>
      </c>
      <c r="D916" t="s">
        <v>37</v>
      </c>
      <c r="E916" t="s">
        <v>13</v>
      </c>
      <c r="F916">
        <v>871.3</v>
      </c>
      <c r="G916">
        <v>66.59</v>
      </c>
    </row>
    <row r="917" spans="1:7" x14ac:dyDescent="0.35">
      <c r="A917" t="s">
        <v>1539</v>
      </c>
      <c r="B917" s="1" t="s">
        <v>758</v>
      </c>
      <c r="C917" s="2">
        <f t="shared" si="14"/>
        <v>42947</v>
      </c>
      <c r="D917" t="s">
        <v>8</v>
      </c>
      <c r="E917" t="s">
        <v>9</v>
      </c>
      <c r="F917">
        <v>4335.68</v>
      </c>
      <c r="G917">
        <v>343.42</v>
      </c>
    </row>
    <row r="918" spans="1:7" x14ac:dyDescent="0.35">
      <c r="A918" t="s">
        <v>1540</v>
      </c>
      <c r="B918" s="1" t="s">
        <v>1541</v>
      </c>
      <c r="C918" s="2">
        <f t="shared" si="14"/>
        <v>42643</v>
      </c>
      <c r="D918" t="s">
        <v>12</v>
      </c>
      <c r="E918" t="s">
        <v>25</v>
      </c>
      <c r="F918">
        <v>2460.61</v>
      </c>
      <c r="G918">
        <v>440.85</v>
      </c>
    </row>
    <row r="919" spans="1:7" x14ac:dyDescent="0.35">
      <c r="A919" t="s">
        <v>1542</v>
      </c>
      <c r="B919" s="1" t="s">
        <v>1429</v>
      </c>
      <c r="C919" s="2">
        <f t="shared" si="14"/>
        <v>43190</v>
      </c>
      <c r="D919" t="s">
        <v>37</v>
      </c>
      <c r="E919" t="s">
        <v>9</v>
      </c>
      <c r="F919">
        <v>4260.8599999999997</v>
      </c>
      <c r="G919">
        <v>755.8</v>
      </c>
    </row>
    <row r="920" spans="1:7" x14ac:dyDescent="0.35">
      <c r="A920" t="s">
        <v>1543</v>
      </c>
      <c r="B920" s="1" t="s">
        <v>861</v>
      </c>
      <c r="C920" s="2">
        <f t="shared" si="14"/>
        <v>42521</v>
      </c>
      <c r="D920" t="s">
        <v>16</v>
      </c>
      <c r="E920" t="s">
        <v>9</v>
      </c>
      <c r="F920">
        <v>1416.92</v>
      </c>
      <c r="G920">
        <v>161.88</v>
      </c>
    </row>
    <row r="921" spans="1:7" x14ac:dyDescent="0.35">
      <c r="A921" t="s">
        <v>1544</v>
      </c>
      <c r="B921" s="1" t="s">
        <v>1545</v>
      </c>
      <c r="C921" s="2">
        <f t="shared" si="14"/>
        <v>42643</v>
      </c>
      <c r="D921" t="s">
        <v>12</v>
      </c>
      <c r="E921" t="s">
        <v>13</v>
      </c>
      <c r="F921">
        <v>2903.79</v>
      </c>
      <c r="G921">
        <v>572.76</v>
      </c>
    </row>
    <row r="922" spans="1:7" x14ac:dyDescent="0.35">
      <c r="A922" t="s">
        <v>1546</v>
      </c>
      <c r="B922" s="1" t="s">
        <v>579</v>
      </c>
      <c r="C922" s="2">
        <f t="shared" si="14"/>
        <v>42855</v>
      </c>
      <c r="D922" t="s">
        <v>12</v>
      </c>
      <c r="E922" t="s">
        <v>9</v>
      </c>
      <c r="F922">
        <v>4832.92</v>
      </c>
      <c r="G922">
        <v>642.96</v>
      </c>
    </row>
    <row r="923" spans="1:7" x14ac:dyDescent="0.35">
      <c r="A923" t="s">
        <v>1547</v>
      </c>
      <c r="B923" s="1" t="s">
        <v>27</v>
      </c>
      <c r="C923" s="2">
        <f t="shared" si="14"/>
        <v>42794</v>
      </c>
      <c r="D923" t="s">
        <v>16</v>
      </c>
      <c r="E923" t="s">
        <v>9</v>
      </c>
      <c r="F923">
        <v>1233.8699999999999</v>
      </c>
      <c r="G923">
        <v>309.27999999999997</v>
      </c>
    </row>
    <row r="924" spans="1:7" x14ac:dyDescent="0.35">
      <c r="A924" t="s">
        <v>1548</v>
      </c>
      <c r="B924" s="1" t="s">
        <v>1549</v>
      </c>
      <c r="C924" s="2">
        <f t="shared" si="14"/>
        <v>42490</v>
      </c>
      <c r="D924" t="s">
        <v>12</v>
      </c>
      <c r="E924" t="s">
        <v>13</v>
      </c>
      <c r="F924">
        <v>863.32</v>
      </c>
      <c r="G924">
        <v>88.46</v>
      </c>
    </row>
    <row r="925" spans="1:7" x14ac:dyDescent="0.35">
      <c r="A925" t="s">
        <v>1550</v>
      </c>
      <c r="B925" s="1" t="s">
        <v>1551</v>
      </c>
      <c r="C925" s="2">
        <f t="shared" si="14"/>
        <v>43251</v>
      </c>
      <c r="D925" t="s">
        <v>12</v>
      </c>
      <c r="E925" t="s">
        <v>9</v>
      </c>
      <c r="F925">
        <v>3922.88</v>
      </c>
      <c r="G925">
        <v>201.13</v>
      </c>
    </row>
    <row r="926" spans="1:7" x14ac:dyDescent="0.35">
      <c r="A926" t="s">
        <v>1552</v>
      </c>
      <c r="B926" s="1" t="s">
        <v>222</v>
      </c>
      <c r="C926" s="2">
        <f t="shared" si="14"/>
        <v>43373</v>
      </c>
      <c r="D926" t="s">
        <v>16</v>
      </c>
      <c r="E926" t="s">
        <v>9</v>
      </c>
      <c r="F926">
        <v>1689.01</v>
      </c>
      <c r="G926">
        <v>198.72</v>
      </c>
    </row>
    <row r="927" spans="1:7" x14ac:dyDescent="0.35">
      <c r="A927" t="s">
        <v>1553</v>
      </c>
      <c r="B927" s="1" t="s">
        <v>847</v>
      </c>
      <c r="C927" s="2">
        <f t="shared" si="14"/>
        <v>42582</v>
      </c>
      <c r="D927" t="s">
        <v>8</v>
      </c>
      <c r="E927" t="s">
        <v>9</v>
      </c>
      <c r="F927">
        <v>3603.36</v>
      </c>
      <c r="G927">
        <v>458.31</v>
      </c>
    </row>
    <row r="928" spans="1:7" x14ac:dyDescent="0.35">
      <c r="A928" t="s">
        <v>1554</v>
      </c>
      <c r="B928" s="1" t="s">
        <v>298</v>
      </c>
      <c r="C928" s="2">
        <f t="shared" si="14"/>
        <v>43312</v>
      </c>
      <c r="D928" t="s">
        <v>37</v>
      </c>
      <c r="E928" t="s">
        <v>25</v>
      </c>
      <c r="F928">
        <v>3628.71</v>
      </c>
      <c r="G928">
        <v>897.55</v>
      </c>
    </row>
    <row r="929" spans="1:7" x14ac:dyDescent="0.35">
      <c r="A929" t="s">
        <v>1555</v>
      </c>
      <c r="B929" s="1" t="s">
        <v>216</v>
      </c>
      <c r="C929" s="2">
        <f t="shared" si="14"/>
        <v>42794</v>
      </c>
      <c r="D929" t="s">
        <v>8</v>
      </c>
      <c r="E929" t="s">
        <v>25</v>
      </c>
      <c r="F929">
        <v>2596.31</v>
      </c>
      <c r="G929">
        <v>424.46</v>
      </c>
    </row>
    <row r="930" spans="1:7" x14ac:dyDescent="0.35">
      <c r="A930" t="s">
        <v>1556</v>
      </c>
      <c r="B930" s="1" t="s">
        <v>783</v>
      </c>
      <c r="C930" s="2">
        <f t="shared" si="14"/>
        <v>43008</v>
      </c>
      <c r="D930" t="s">
        <v>37</v>
      </c>
      <c r="E930" t="s">
        <v>9</v>
      </c>
      <c r="F930">
        <v>3689.28</v>
      </c>
      <c r="G930">
        <v>749.91</v>
      </c>
    </row>
    <row r="931" spans="1:7" x14ac:dyDescent="0.35">
      <c r="A931" t="s">
        <v>1557</v>
      </c>
      <c r="B931" s="1" t="s">
        <v>1184</v>
      </c>
      <c r="C931" s="2">
        <f t="shared" si="14"/>
        <v>43190</v>
      </c>
      <c r="D931" t="s">
        <v>16</v>
      </c>
      <c r="E931" t="s">
        <v>9</v>
      </c>
      <c r="F931">
        <v>701.84</v>
      </c>
      <c r="G931">
        <v>119.19</v>
      </c>
    </row>
    <row r="932" spans="1:7" x14ac:dyDescent="0.35">
      <c r="A932" t="s">
        <v>1558</v>
      </c>
      <c r="B932" s="1" t="s">
        <v>1559</v>
      </c>
      <c r="C932" s="2">
        <f t="shared" si="14"/>
        <v>43008</v>
      </c>
      <c r="D932" t="s">
        <v>16</v>
      </c>
      <c r="E932" t="s">
        <v>25</v>
      </c>
      <c r="F932">
        <v>1370.02</v>
      </c>
      <c r="G932">
        <v>380.18</v>
      </c>
    </row>
    <row r="933" spans="1:7" x14ac:dyDescent="0.35">
      <c r="A933" t="s">
        <v>1560</v>
      </c>
      <c r="B933" s="1" t="s">
        <v>1561</v>
      </c>
      <c r="C933" s="2">
        <f t="shared" si="14"/>
        <v>42947</v>
      </c>
      <c r="D933" t="s">
        <v>8</v>
      </c>
      <c r="E933" t="s">
        <v>25</v>
      </c>
      <c r="F933">
        <v>2180.4299999999998</v>
      </c>
      <c r="G933">
        <v>195.22</v>
      </c>
    </row>
    <row r="934" spans="1:7" x14ac:dyDescent="0.35">
      <c r="A934" t="s">
        <v>1562</v>
      </c>
      <c r="B934" s="1" t="s">
        <v>494</v>
      </c>
      <c r="C934" s="2">
        <f t="shared" si="14"/>
        <v>42429</v>
      </c>
      <c r="D934" t="s">
        <v>8</v>
      </c>
      <c r="E934" t="s">
        <v>25</v>
      </c>
      <c r="F934">
        <v>1670.27</v>
      </c>
      <c r="G934">
        <v>337.73</v>
      </c>
    </row>
    <row r="935" spans="1:7" x14ac:dyDescent="0.35">
      <c r="A935" t="s">
        <v>1563</v>
      </c>
      <c r="B935" s="1" t="s">
        <v>1564</v>
      </c>
      <c r="C935" s="2">
        <f t="shared" si="14"/>
        <v>43251</v>
      </c>
      <c r="D935" t="s">
        <v>8</v>
      </c>
      <c r="E935" t="s">
        <v>13</v>
      </c>
      <c r="F935">
        <v>4529.05</v>
      </c>
      <c r="G935">
        <v>1082.8699999999999</v>
      </c>
    </row>
    <row r="936" spans="1:7" x14ac:dyDescent="0.35">
      <c r="A936" t="s">
        <v>1565</v>
      </c>
      <c r="B936" s="1" t="s">
        <v>122</v>
      </c>
      <c r="C936" s="2">
        <f t="shared" si="14"/>
        <v>43008</v>
      </c>
      <c r="D936" t="s">
        <v>37</v>
      </c>
      <c r="E936" t="s">
        <v>25</v>
      </c>
      <c r="F936">
        <v>1138.6400000000001</v>
      </c>
      <c r="G936">
        <v>265.73</v>
      </c>
    </row>
    <row r="937" spans="1:7" x14ac:dyDescent="0.35">
      <c r="A937" t="s">
        <v>1566</v>
      </c>
      <c r="B937" s="1" t="s">
        <v>472</v>
      </c>
      <c r="C937" s="2">
        <f t="shared" si="14"/>
        <v>42886</v>
      </c>
      <c r="D937" t="s">
        <v>8</v>
      </c>
      <c r="E937" t="s">
        <v>9</v>
      </c>
      <c r="F937">
        <v>4011.72</v>
      </c>
      <c r="G937">
        <v>645.46</v>
      </c>
    </row>
    <row r="938" spans="1:7" x14ac:dyDescent="0.35">
      <c r="A938" t="s">
        <v>1567</v>
      </c>
      <c r="B938" s="1" t="s">
        <v>1568</v>
      </c>
      <c r="C938" s="2">
        <f t="shared" si="14"/>
        <v>43008</v>
      </c>
      <c r="D938" t="s">
        <v>16</v>
      </c>
      <c r="E938" t="s">
        <v>9</v>
      </c>
      <c r="F938">
        <v>3985.84</v>
      </c>
      <c r="G938">
        <v>950.69</v>
      </c>
    </row>
    <row r="939" spans="1:7" x14ac:dyDescent="0.35">
      <c r="A939" t="s">
        <v>1569</v>
      </c>
      <c r="B939" s="1" t="s">
        <v>371</v>
      </c>
      <c r="C939" s="2">
        <f t="shared" si="14"/>
        <v>43100</v>
      </c>
      <c r="D939" t="s">
        <v>16</v>
      </c>
      <c r="E939" t="s">
        <v>9</v>
      </c>
      <c r="F939">
        <v>1342.93</v>
      </c>
      <c r="G939">
        <v>310.83999999999997</v>
      </c>
    </row>
    <row r="940" spans="1:7" x14ac:dyDescent="0.35">
      <c r="A940" t="s">
        <v>1570</v>
      </c>
      <c r="B940" s="1" t="s">
        <v>85</v>
      </c>
      <c r="C940" s="2">
        <f t="shared" si="14"/>
        <v>42766</v>
      </c>
      <c r="D940" t="s">
        <v>37</v>
      </c>
      <c r="E940" t="s">
        <v>9</v>
      </c>
      <c r="F940">
        <v>1609.43</v>
      </c>
      <c r="G940">
        <v>112.68</v>
      </c>
    </row>
    <row r="941" spans="1:7" x14ac:dyDescent="0.35">
      <c r="A941" t="s">
        <v>1571</v>
      </c>
      <c r="B941" s="1" t="s">
        <v>1043</v>
      </c>
      <c r="C941" s="2">
        <f t="shared" si="14"/>
        <v>42735</v>
      </c>
      <c r="D941" t="s">
        <v>37</v>
      </c>
      <c r="E941" t="s">
        <v>13</v>
      </c>
      <c r="F941">
        <v>2082.5500000000002</v>
      </c>
      <c r="G941">
        <v>108.02</v>
      </c>
    </row>
    <row r="942" spans="1:7" x14ac:dyDescent="0.35">
      <c r="A942" t="s">
        <v>1572</v>
      </c>
      <c r="B942" s="1" t="s">
        <v>1573</v>
      </c>
      <c r="C942" s="2">
        <f t="shared" si="14"/>
        <v>42735</v>
      </c>
      <c r="D942" t="s">
        <v>12</v>
      </c>
      <c r="E942" t="s">
        <v>13</v>
      </c>
      <c r="F942">
        <v>525.98</v>
      </c>
      <c r="G942">
        <v>98.92</v>
      </c>
    </row>
    <row r="943" spans="1:7" x14ac:dyDescent="0.35">
      <c r="A943" t="s">
        <v>1574</v>
      </c>
      <c r="B943" s="1" t="s">
        <v>396</v>
      </c>
      <c r="C943" s="2">
        <f t="shared" si="14"/>
        <v>42460</v>
      </c>
      <c r="D943" t="s">
        <v>16</v>
      </c>
      <c r="E943" t="s">
        <v>13</v>
      </c>
      <c r="F943">
        <v>4170.92</v>
      </c>
      <c r="G943">
        <v>1042.25</v>
      </c>
    </row>
    <row r="944" spans="1:7" x14ac:dyDescent="0.35">
      <c r="A944" t="s">
        <v>1575</v>
      </c>
      <c r="B944" s="1" t="s">
        <v>345</v>
      </c>
      <c r="C944" s="2">
        <f t="shared" si="14"/>
        <v>42916</v>
      </c>
      <c r="D944" t="s">
        <v>37</v>
      </c>
      <c r="E944" t="s">
        <v>13</v>
      </c>
      <c r="F944">
        <v>1655.54</v>
      </c>
      <c r="G944">
        <v>391.39</v>
      </c>
    </row>
    <row r="945" spans="1:7" x14ac:dyDescent="0.35">
      <c r="A945" t="s">
        <v>1576</v>
      </c>
      <c r="B945" s="1" t="s">
        <v>1577</v>
      </c>
      <c r="C945" s="2">
        <f t="shared" si="14"/>
        <v>42855</v>
      </c>
      <c r="D945" t="s">
        <v>8</v>
      </c>
      <c r="E945" t="s">
        <v>25</v>
      </c>
      <c r="F945">
        <v>4464.8599999999997</v>
      </c>
      <c r="G945">
        <v>310.86</v>
      </c>
    </row>
    <row r="946" spans="1:7" x14ac:dyDescent="0.35">
      <c r="A946" t="s">
        <v>1578</v>
      </c>
      <c r="B946" s="1" t="s">
        <v>1482</v>
      </c>
      <c r="C946" s="2">
        <f t="shared" si="14"/>
        <v>42551</v>
      </c>
      <c r="D946" t="s">
        <v>12</v>
      </c>
      <c r="E946" t="s">
        <v>25</v>
      </c>
      <c r="F946">
        <v>4031.61</v>
      </c>
      <c r="G946">
        <v>424.63</v>
      </c>
    </row>
    <row r="947" spans="1:7" x14ac:dyDescent="0.35">
      <c r="A947" t="s">
        <v>1579</v>
      </c>
      <c r="B947" s="1" t="s">
        <v>1305</v>
      </c>
      <c r="C947" s="2">
        <f t="shared" si="14"/>
        <v>42886</v>
      </c>
      <c r="D947" t="s">
        <v>8</v>
      </c>
      <c r="E947" t="s">
        <v>9</v>
      </c>
      <c r="F947">
        <v>4447.45</v>
      </c>
      <c r="G947">
        <v>1158.1199999999999</v>
      </c>
    </row>
    <row r="948" spans="1:7" x14ac:dyDescent="0.35">
      <c r="A948" t="s">
        <v>1580</v>
      </c>
      <c r="B948" s="1" t="s">
        <v>373</v>
      </c>
      <c r="C948" s="2">
        <f t="shared" si="14"/>
        <v>43220</v>
      </c>
      <c r="D948" t="s">
        <v>37</v>
      </c>
      <c r="E948" t="s">
        <v>13</v>
      </c>
      <c r="F948">
        <v>630.80999999999995</v>
      </c>
      <c r="G948">
        <v>117.89</v>
      </c>
    </row>
    <row r="949" spans="1:7" x14ac:dyDescent="0.35">
      <c r="A949" t="s">
        <v>1581</v>
      </c>
      <c r="B949" s="1" t="s">
        <v>1448</v>
      </c>
      <c r="C949" s="2">
        <f t="shared" si="14"/>
        <v>43251</v>
      </c>
      <c r="D949" t="s">
        <v>12</v>
      </c>
      <c r="E949" t="s">
        <v>9</v>
      </c>
      <c r="F949">
        <v>2931.16</v>
      </c>
      <c r="G949">
        <v>590.66</v>
      </c>
    </row>
    <row r="950" spans="1:7" x14ac:dyDescent="0.35">
      <c r="A950" t="s">
        <v>1582</v>
      </c>
      <c r="B950" s="1" t="s">
        <v>868</v>
      </c>
      <c r="C950" s="2">
        <f t="shared" si="14"/>
        <v>42766</v>
      </c>
      <c r="D950" t="s">
        <v>8</v>
      </c>
      <c r="E950" t="s">
        <v>9</v>
      </c>
      <c r="F950">
        <v>2817.19</v>
      </c>
      <c r="G950">
        <v>671.64</v>
      </c>
    </row>
    <row r="951" spans="1:7" x14ac:dyDescent="0.35">
      <c r="A951" t="s">
        <v>1583</v>
      </c>
      <c r="B951" s="1" t="s">
        <v>518</v>
      </c>
      <c r="C951" s="2">
        <f t="shared" si="14"/>
        <v>43039</v>
      </c>
      <c r="D951" t="s">
        <v>12</v>
      </c>
      <c r="E951" t="s">
        <v>13</v>
      </c>
      <c r="F951">
        <v>2815.29</v>
      </c>
      <c r="G951">
        <v>674.63</v>
      </c>
    </row>
    <row r="952" spans="1:7" x14ac:dyDescent="0.35">
      <c r="A952" t="s">
        <v>1584</v>
      </c>
      <c r="B952" s="1" t="s">
        <v>1585</v>
      </c>
      <c r="C952" s="2">
        <f t="shared" si="14"/>
        <v>43281</v>
      </c>
      <c r="D952" t="s">
        <v>12</v>
      </c>
      <c r="E952" t="s">
        <v>13</v>
      </c>
      <c r="F952">
        <v>3731.6</v>
      </c>
      <c r="G952">
        <v>374.14</v>
      </c>
    </row>
    <row r="953" spans="1:7" x14ac:dyDescent="0.35">
      <c r="A953" t="s">
        <v>1586</v>
      </c>
      <c r="B953" s="1" t="s">
        <v>961</v>
      </c>
      <c r="C953" s="2">
        <f t="shared" si="14"/>
        <v>42825</v>
      </c>
      <c r="D953" t="s">
        <v>16</v>
      </c>
      <c r="E953" t="s">
        <v>9</v>
      </c>
      <c r="F953">
        <v>898.41</v>
      </c>
      <c r="G953">
        <v>122.75</v>
      </c>
    </row>
    <row r="954" spans="1:7" x14ac:dyDescent="0.35">
      <c r="A954" t="s">
        <v>1587</v>
      </c>
      <c r="B954" s="1" t="s">
        <v>1229</v>
      </c>
      <c r="C954" s="2">
        <f t="shared" si="14"/>
        <v>43069</v>
      </c>
      <c r="D954" t="s">
        <v>37</v>
      </c>
      <c r="E954" t="s">
        <v>9</v>
      </c>
      <c r="F954">
        <v>1827.26</v>
      </c>
      <c r="G954">
        <v>245.83</v>
      </c>
    </row>
    <row r="955" spans="1:7" x14ac:dyDescent="0.35">
      <c r="A955" t="s">
        <v>1588</v>
      </c>
      <c r="B955" s="1" t="s">
        <v>598</v>
      </c>
      <c r="C955" s="2">
        <f t="shared" si="14"/>
        <v>43131</v>
      </c>
      <c r="D955" t="s">
        <v>12</v>
      </c>
      <c r="E955" t="s">
        <v>13</v>
      </c>
      <c r="F955">
        <v>166.7</v>
      </c>
      <c r="G955">
        <v>44.68</v>
      </c>
    </row>
    <row r="956" spans="1:7" x14ac:dyDescent="0.35">
      <c r="A956" t="s">
        <v>1589</v>
      </c>
      <c r="B956" s="1" t="s">
        <v>258</v>
      </c>
      <c r="C956" s="2">
        <f t="shared" si="14"/>
        <v>42916</v>
      </c>
      <c r="D956" t="s">
        <v>12</v>
      </c>
      <c r="E956" t="s">
        <v>9</v>
      </c>
      <c r="F956">
        <v>988.37</v>
      </c>
      <c r="G956">
        <v>263.29000000000002</v>
      </c>
    </row>
    <row r="957" spans="1:7" x14ac:dyDescent="0.35">
      <c r="A957" t="s">
        <v>1590</v>
      </c>
      <c r="B957" s="1" t="s">
        <v>1591</v>
      </c>
      <c r="C957" s="2">
        <f t="shared" si="14"/>
        <v>42429</v>
      </c>
      <c r="D957" t="s">
        <v>8</v>
      </c>
      <c r="E957" t="s">
        <v>9</v>
      </c>
      <c r="F957">
        <v>1420.08</v>
      </c>
      <c r="G957">
        <v>217.94</v>
      </c>
    </row>
    <row r="958" spans="1:7" x14ac:dyDescent="0.35">
      <c r="A958" t="s">
        <v>1592</v>
      </c>
      <c r="B958" s="1" t="s">
        <v>1238</v>
      </c>
      <c r="C958" s="2">
        <f t="shared" si="14"/>
        <v>43190</v>
      </c>
      <c r="D958" t="s">
        <v>37</v>
      </c>
      <c r="E958" t="s">
        <v>13</v>
      </c>
      <c r="F958">
        <v>2485.8000000000002</v>
      </c>
      <c r="G958">
        <v>335.08</v>
      </c>
    </row>
    <row r="959" spans="1:7" x14ac:dyDescent="0.35">
      <c r="A959" t="s">
        <v>1593</v>
      </c>
      <c r="B959" s="1" t="s">
        <v>1594</v>
      </c>
      <c r="C959" s="2">
        <f t="shared" si="14"/>
        <v>42613</v>
      </c>
      <c r="D959" t="s">
        <v>16</v>
      </c>
      <c r="E959" t="s">
        <v>9</v>
      </c>
      <c r="F959">
        <v>3550.43</v>
      </c>
      <c r="G959">
        <v>895.79</v>
      </c>
    </row>
    <row r="960" spans="1:7" x14ac:dyDescent="0.35">
      <c r="A960" t="s">
        <v>1595</v>
      </c>
      <c r="B960" s="1" t="s">
        <v>696</v>
      </c>
      <c r="C960" s="2">
        <f t="shared" si="14"/>
        <v>42704</v>
      </c>
      <c r="D960" t="s">
        <v>12</v>
      </c>
      <c r="E960" t="s">
        <v>9</v>
      </c>
      <c r="F960">
        <v>1431.39</v>
      </c>
      <c r="G960">
        <v>218.47</v>
      </c>
    </row>
    <row r="961" spans="1:7" x14ac:dyDescent="0.35">
      <c r="A961" t="s">
        <v>1596</v>
      </c>
      <c r="B961" s="1" t="s">
        <v>1115</v>
      </c>
      <c r="C961" s="2">
        <f t="shared" si="14"/>
        <v>42766</v>
      </c>
      <c r="D961" t="s">
        <v>12</v>
      </c>
      <c r="E961" t="s">
        <v>9</v>
      </c>
      <c r="F961">
        <v>2971.4</v>
      </c>
      <c r="G961">
        <v>295.55</v>
      </c>
    </row>
    <row r="962" spans="1:7" x14ac:dyDescent="0.35">
      <c r="A962" t="s">
        <v>1597</v>
      </c>
      <c r="B962" s="1" t="s">
        <v>112</v>
      </c>
      <c r="C962" s="2">
        <f t="shared" si="14"/>
        <v>42855</v>
      </c>
      <c r="D962" t="s">
        <v>16</v>
      </c>
      <c r="E962" t="s">
        <v>13</v>
      </c>
      <c r="F962">
        <v>3380.08</v>
      </c>
      <c r="G962">
        <v>349.1</v>
      </c>
    </row>
    <row r="963" spans="1:7" x14ac:dyDescent="0.35">
      <c r="A963" t="s">
        <v>1598</v>
      </c>
      <c r="B963" s="1" t="s">
        <v>1599</v>
      </c>
      <c r="C963" s="2">
        <f t="shared" ref="C963:C1001" si="15">EOMONTH(B963,0)</f>
        <v>43343</v>
      </c>
      <c r="D963" t="s">
        <v>8</v>
      </c>
      <c r="E963" t="s">
        <v>25</v>
      </c>
      <c r="F963">
        <v>298.31</v>
      </c>
      <c r="G963">
        <v>52.99</v>
      </c>
    </row>
    <row r="964" spans="1:7" x14ac:dyDescent="0.35">
      <c r="A964" t="s">
        <v>1600</v>
      </c>
      <c r="B964" s="1" t="s">
        <v>818</v>
      </c>
      <c r="C964" s="2">
        <f t="shared" si="15"/>
        <v>43159</v>
      </c>
      <c r="D964" t="s">
        <v>8</v>
      </c>
      <c r="E964" t="s">
        <v>13</v>
      </c>
      <c r="F964">
        <v>437.04</v>
      </c>
      <c r="G964">
        <v>72.62</v>
      </c>
    </row>
    <row r="965" spans="1:7" x14ac:dyDescent="0.35">
      <c r="A965" t="s">
        <v>1601</v>
      </c>
      <c r="B965" s="1" t="s">
        <v>769</v>
      </c>
      <c r="C965" s="2">
        <f t="shared" si="15"/>
        <v>42825</v>
      </c>
      <c r="D965" t="s">
        <v>16</v>
      </c>
      <c r="E965" t="s">
        <v>9</v>
      </c>
      <c r="F965">
        <v>247.61</v>
      </c>
      <c r="G965">
        <v>33.56</v>
      </c>
    </row>
    <row r="966" spans="1:7" x14ac:dyDescent="0.35">
      <c r="A966" t="s">
        <v>1602</v>
      </c>
      <c r="B966" s="1" t="s">
        <v>1113</v>
      </c>
      <c r="C966" s="2">
        <f t="shared" si="15"/>
        <v>43220</v>
      </c>
      <c r="D966" t="s">
        <v>12</v>
      </c>
      <c r="E966" t="s">
        <v>25</v>
      </c>
      <c r="F966">
        <v>4269.93</v>
      </c>
      <c r="G966">
        <v>386.22</v>
      </c>
    </row>
    <row r="967" spans="1:7" x14ac:dyDescent="0.35">
      <c r="A967" t="s">
        <v>1603</v>
      </c>
      <c r="B967" s="1" t="s">
        <v>1604</v>
      </c>
      <c r="C967" s="2">
        <f t="shared" si="15"/>
        <v>42735</v>
      </c>
      <c r="D967" t="s">
        <v>37</v>
      </c>
      <c r="E967" t="s">
        <v>13</v>
      </c>
      <c r="F967">
        <v>4927.18</v>
      </c>
      <c r="G967">
        <v>509.07</v>
      </c>
    </row>
    <row r="968" spans="1:7" x14ac:dyDescent="0.35">
      <c r="A968" t="s">
        <v>1605</v>
      </c>
      <c r="B968" s="1" t="s">
        <v>1606</v>
      </c>
      <c r="C968" s="2">
        <f t="shared" si="15"/>
        <v>42947</v>
      </c>
      <c r="D968" t="s">
        <v>12</v>
      </c>
      <c r="E968" t="s">
        <v>13</v>
      </c>
      <c r="F968">
        <v>274.85000000000002</v>
      </c>
      <c r="G968">
        <v>23.86</v>
      </c>
    </row>
    <row r="969" spans="1:7" x14ac:dyDescent="0.35">
      <c r="A969" t="s">
        <v>1607</v>
      </c>
      <c r="B969" s="1" t="s">
        <v>100</v>
      </c>
      <c r="C969" s="2">
        <f t="shared" si="15"/>
        <v>43312</v>
      </c>
      <c r="D969" t="s">
        <v>16</v>
      </c>
      <c r="E969" t="s">
        <v>13</v>
      </c>
      <c r="F969">
        <v>4857.71</v>
      </c>
      <c r="G969">
        <v>1394.38</v>
      </c>
    </row>
    <row r="970" spans="1:7" x14ac:dyDescent="0.35">
      <c r="A970" t="s">
        <v>1608</v>
      </c>
      <c r="B970" s="1" t="s">
        <v>92</v>
      </c>
      <c r="C970" s="2">
        <f t="shared" si="15"/>
        <v>42735</v>
      </c>
      <c r="D970" t="s">
        <v>16</v>
      </c>
      <c r="E970" t="s">
        <v>9</v>
      </c>
      <c r="F970">
        <v>3467.81</v>
      </c>
      <c r="G970">
        <v>593.73</v>
      </c>
    </row>
    <row r="971" spans="1:7" x14ac:dyDescent="0.35">
      <c r="A971" t="s">
        <v>1609</v>
      </c>
      <c r="B971" s="1" t="s">
        <v>1084</v>
      </c>
      <c r="C971" s="2">
        <f t="shared" si="15"/>
        <v>42674</v>
      </c>
      <c r="D971" t="s">
        <v>37</v>
      </c>
      <c r="E971" t="s">
        <v>9</v>
      </c>
      <c r="F971">
        <v>3986.83</v>
      </c>
      <c r="G971">
        <v>623.07000000000005</v>
      </c>
    </row>
    <row r="972" spans="1:7" x14ac:dyDescent="0.35">
      <c r="A972" t="s">
        <v>1610</v>
      </c>
      <c r="B972" s="1" t="s">
        <v>1611</v>
      </c>
      <c r="C972" s="2">
        <f t="shared" si="15"/>
        <v>43343</v>
      </c>
      <c r="D972" t="s">
        <v>8</v>
      </c>
      <c r="E972" t="s">
        <v>25</v>
      </c>
      <c r="F972">
        <v>1448.33</v>
      </c>
      <c r="G972">
        <v>342.59</v>
      </c>
    </row>
    <row r="973" spans="1:7" x14ac:dyDescent="0.35">
      <c r="A973" t="s">
        <v>1612</v>
      </c>
      <c r="B973" s="1" t="s">
        <v>1613</v>
      </c>
      <c r="C973" s="2">
        <f t="shared" si="15"/>
        <v>43100</v>
      </c>
      <c r="D973" t="s">
        <v>12</v>
      </c>
      <c r="E973" t="s">
        <v>9</v>
      </c>
      <c r="F973">
        <v>686.07</v>
      </c>
      <c r="G973">
        <v>129.03</v>
      </c>
    </row>
    <row r="974" spans="1:7" x14ac:dyDescent="0.35">
      <c r="A974" t="s">
        <v>1614</v>
      </c>
      <c r="B974" s="1" t="s">
        <v>122</v>
      </c>
      <c r="C974" s="2">
        <f t="shared" si="15"/>
        <v>43008</v>
      </c>
      <c r="D974" t="s">
        <v>8</v>
      </c>
      <c r="E974" t="s">
        <v>13</v>
      </c>
      <c r="F974">
        <v>1965.54</v>
      </c>
      <c r="G974">
        <v>358.03</v>
      </c>
    </row>
    <row r="975" spans="1:7" x14ac:dyDescent="0.35">
      <c r="A975" t="s">
        <v>1615</v>
      </c>
      <c r="B975" s="1" t="s">
        <v>1616</v>
      </c>
      <c r="C975" s="2">
        <f t="shared" si="15"/>
        <v>43251</v>
      </c>
      <c r="D975" t="s">
        <v>12</v>
      </c>
      <c r="E975" t="s">
        <v>9</v>
      </c>
      <c r="F975">
        <v>4226.83</v>
      </c>
      <c r="G975">
        <v>1082.33</v>
      </c>
    </row>
    <row r="976" spans="1:7" x14ac:dyDescent="0.35">
      <c r="A976" t="s">
        <v>1617</v>
      </c>
      <c r="B976" s="1" t="s">
        <v>1618</v>
      </c>
      <c r="C976" s="2">
        <f t="shared" si="15"/>
        <v>43008</v>
      </c>
      <c r="D976" t="s">
        <v>8</v>
      </c>
      <c r="E976" t="s">
        <v>25</v>
      </c>
      <c r="F976">
        <v>960.48</v>
      </c>
      <c r="G976">
        <v>135.81</v>
      </c>
    </row>
    <row r="977" spans="1:7" x14ac:dyDescent="0.35">
      <c r="A977" t="s">
        <v>1619</v>
      </c>
      <c r="B977" s="1" t="s">
        <v>666</v>
      </c>
      <c r="C977" s="2">
        <f t="shared" si="15"/>
        <v>42521</v>
      </c>
      <c r="D977" t="s">
        <v>8</v>
      </c>
      <c r="E977" t="s">
        <v>25</v>
      </c>
      <c r="F977">
        <v>3646.39</v>
      </c>
      <c r="G977">
        <v>539.88</v>
      </c>
    </row>
    <row r="978" spans="1:7" x14ac:dyDescent="0.35">
      <c r="A978" t="s">
        <v>1620</v>
      </c>
      <c r="B978" s="1" t="s">
        <v>793</v>
      </c>
      <c r="C978" s="2">
        <f t="shared" si="15"/>
        <v>43373</v>
      </c>
      <c r="D978" t="s">
        <v>37</v>
      </c>
      <c r="E978" t="s">
        <v>13</v>
      </c>
      <c r="F978">
        <v>4645.3</v>
      </c>
      <c r="G978">
        <v>967.93</v>
      </c>
    </row>
    <row r="979" spans="1:7" x14ac:dyDescent="0.35">
      <c r="A979" t="s">
        <v>1621</v>
      </c>
      <c r="B979" s="1" t="s">
        <v>1269</v>
      </c>
      <c r="C979" s="2">
        <f t="shared" si="15"/>
        <v>42400</v>
      </c>
      <c r="D979" t="s">
        <v>16</v>
      </c>
      <c r="E979" t="s">
        <v>25</v>
      </c>
      <c r="F979">
        <v>2110</v>
      </c>
      <c r="G979">
        <v>129.41</v>
      </c>
    </row>
    <row r="980" spans="1:7" x14ac:dyDescent="0.35">
      <c r="A980" t="s">
        <v>1622</v>
      </c>
      <c r="B980" s="1" t="s">
        <v>977</v>
      </c>
      <c r="C980" s="2">
        <f t="shared" si="15"/>
        <v>42643</v>
      </c>
      <c r="D980" t="s">
        <v>16</v>
      </c>
      <c r="E980" t="s">
        <v>13</v>
      </c>
      <c r="F980">
        <v>3907.92</v>
      </c>
      <c r="G980">
        <v>236.6</v>
      </c>
    </row>
    <row r="981" spans="1:7" x14ac:dyDescent="0.35">
      <c r="A981" t="s">
        <v>1623</v>
      </c>
      <c r="B981" s="1" t="s">
        <v>1624</v>
      </c>
      <c r="C981" s="2">
        <f t="shared" si="15"/>
        <v>42460</v>
      </c>
      <c r="D981" t="s">
        <v>16</v>
      </c>
      <c r="E981" t="s">
        <v>13</v>
      </c>
      <c r="F981">
        <v>628.4</v>
      </c>
      <c r="G981">
        <v>147</v>
      </c>
    </row>
    <row r="982" spans="1:7" x14ac:dyDescent="0.35">
      <c r="A982" t="s">
        <v>1625</v>
      </c>
      <c r="B982" s="1" t="s">
        <v>706</v>
      </c>
      <c r="C982" s="2">
        <f t="shared" si="15"/>
        <v>42704</v>
      </c>
      <c r="D982" t="s">
        <v>37</v>
      </c>
      <c r="E982" t="s">
        <v>13</v>
      </c>
      <c r="F982">
        <v>4990.5600000000004</v>
      </c>
      <c r="G982">
        <v>822.05</v>
      </c>
    </row>
    <row r="983" spans="1:7" x14ac:dyDescent="0.35">
      <c r="A983" t="s">
        <v>1626</v>
      </c>
      <c r="B983" s="1" t="s">
        <v>1427</v>
      </c>
      <c r="C983" s="2">
        <f t="shared" si="15"/>
        <v>42735</v>
      </c>
      <c r="D983" t="s">
        <v>16</v>
      </c>
      <c r="E983" t="s">
        <v>13</v>
      </c>
      <c r="F983">
        <v>2265.1999999999998</v>
      </c>
      <c r="G983">
        <v>241.22</v>
      </c>
    </row>
    <row r="984" spans="1:7" x14ac:dyDescent="0.35">
      <c r="A984" t="s">
        <v>1627</v>
      </c>
      <c r="B984" s="1" t="s">
        <v>1282</v>
      </c>
      <c r="C984" s="2">
        <f t="shared" si="15"/>
        <v>42735</v>
      </c>
      <c r="D984" t="s">
        <v>37</v>
      </c>
      <c r="E984" t="s">
        <v>25</v>
      </c>
      <c r="F984">
        <v>1719.22</v>
      </c>
      <c r="G984">
        <v>418.14</v>
      </c>
    </row>
    <row r="985" spans="1:7" x14ac:dyDescent="0.35">
      <c r="A985" t="s">
        <v>1628</v>
      </c>
      <c r="B985" s="1" t="s">
        <v>1282</v>
      </c>
      <c r="C985" s="2">
        <f t="shared" si="15"/>
        <v>42735</v>
      </c>
      <c r="D985" t="s">
        <v>37</v>
      </c>
      <c r="E985" t="s">
        <v>25</v>
      </c>
      <c r="F985">
        <v>3653.65</v>
      </c>
      <c r="G985">
        <v>350.25</v>
      </c>
    </row>
    <row r="986" spans="1:7" x14ac:dyDescent="0.35">
      <c r="A986" t="s">
        <v>1629</v>
      </c>
      <c r="B986" s="1" t="s">
        <v>803</v>
      </c>
      <c r="C986" s="2">
        <f t="shared" si="15"/>
        <v>43008</v>
      </c>
      <c r="D986" t="s">
        <v>12</v>
      </c>
      <c r="E986" t="s">
        <v>13</v>
      </c>
      <c r="F986">
        <v>1748.77</v>
      </c>
      <c r="G986">
        <v>134.5</v>
      </c>
    </row>
    <row r="987" spans="1:7" x14ac:dyDescent="0.35">
      <c r="A987" t="s">
        <v>1630</v>
      </c>
      <c r="B987" s="1" t="s">
        <v>1631</v>
      </c>
      <c r="C987" s="2">
        <f t="shared" si="15"/>
        <v>42490</v>
      </c>
      <c r="D987" t="s">
        <v>8</v>
      </c>
      <c r="E987" t="s">
        <v>25</v>
      </c>
      <c r="F987">
        <v>2823.44</v>
      </c>
      <c r="G987">
        <v>194.31</v>
      </c>
    </row>
    <row r="988" spans="1:7" x14ac:dyDescent="0.35">
      <c r="A988" t="s">
        <v>1632</v>
      </c>
      <c r="B988" s="1" t="s">
        <v>1633</v>
      </c>
      <c r="C988" s="2">
        <f t="shared" si="15"/>
        <v>42886</v>
      </c>
      <c r="D988" t="s">
        <v>8</v>
      </c>
      <c r="E988" t="s">
        <v>25</v>
      </c>
      <c r="F988">
        <v>1496.16</v>
      </c>
      <c r="G988">
        <v>140.01</v>
      </c>
    </row>
    <row r="989" spans="1:7" x14ac:dyDescent="0.35">
      <c r="A989" t="s">
        <v>1634</v>
      </c>
      <c r="B989" s="1" t="s">
        <v>1371</v>
      </c>
      <c r="C989" s="2">
        <f t="shared" si="15"/>
        <v>43100</v>
      </c>
      <c r="D989" t="s">
        <v>8</v>
      </c>
      <c r="E989" t="s">
        <v>13</v>
      </c>
      <c r="F989">
        <v>3204.56</v>
      </c>
      <c r="G989">
        <v>567.5</v>
      </c>
    </row>
    <row r="990" spans="1:7" x14ac:dyDescent="0.35">
      <c r="A990" t="s">
        <v>1635</v>
      </c>
      <c r="B990" s="1" t="s">
        <v>1288</v>
      </c>
      <c r="C990" s="2">
        <f t="shared" si="15"/>
        <v>43131</v>
      </c>
      <c r="D990" t="s">
        <v>16</v>
      </c>
      <c r="E990" t="s">
        <v>9</v>
      </c>
      <c r="F990">
        <v>4487.8900000000003</v>
      </c>
      <c r="G990">
        <v>234.8</v>
      </c>
    </row>
    <row r="991" spans="1:7" x14ac:dyDescent="0.35">
      <c r="A991" t="s">
        <v>1636</v>
      </c>
      <c r="B991" s="1" t="s">
        <v>1637</v>
      </c>
      <c r="C991" s="2">
        <f t="shared" si="15"/>
        <v>42429</v>
      </c>
      <c r="D991" t="s">
        <v>37</v>
      </c>
      <c r="E991" t="s">
        <v>13</v>
      </c>
      <c r="F991">
        <v>4342.24</v>
      </c>
      <c r="G991">
        <v>1008.85</v>
      </c>
    </row>
    <row r="992" spans="1:7" x14ac:dyDescent="0.35">
      <c r="A992" t="s">
        <v>1638</v>
      </c>
      <c r="B992" s="1" t="s">
        <v>1639</v>
      </c>
      <c r="C992" s="2">
        <f t="shared" si="15"/>
        <v>42643</v>
      </c>
      <c r="D992" t="s">
        <v>16</v>
      </c>
      <c r="E992" t="s">
        <v>13</v>
      </c>
      <c r="F992">
        <v>170.66</v>
      </c>
      <c r="G992">
        <v>41.86</v>
      </c>
    </row>
    <row r="993" spans="1:7" x14ac:dyDescent="0.35">
      <c r="A993" t="s">
        <v>1640</v>
      </c>
      <c r="B993" s="1" t="s">
        <v>453</v>
      </c>
      <c r="C993" s="2">
        <f t="shared" si="15"/>
        <v>42704</v>
      </c>
      <c r="D993" t="s">
        <v>8</v>
      </c>
      <c r="E993" t="s">
        <v>25</v>
      </c>
      <c r="F993">
        <v>2200.27</v>
      </c>
      <c r="G993">
        <v>632.77</v>
      </c>
    </row>
    <row r="994" spans="1:7" x14ac:dyDescent="0.35">
      <c r="A994" t="s">
        <v>1641</v>
      </c>
      <c r="B994" s="1" t="s">
        <v>232</v>
      </c>
      <c r="C994" s="2">
        <f t="shared" si="15"/>
        <v>42766</v>
      </c>
      <c r="D994" t="s">
        <v>8</v>
      </c>
      <c r="E994" t="s">
        <v>13</v>
      </c>
      <c r="F994">
        <v>4623.54</v>
      </c>
      <c r="G994">
        <v>896.97</v>
      </c>
    </row>
    <row r="995" spans="1:7" x14ac:dyDescent="0.35">
      <c r="A995" t="s">
        <v>1642</v>
      </c>
      <c r="B995" s="1" t="s">
        <v>537</v>
      </c>
      <c r="C995" s="2">
        <f t="shared" si="15"/>
        <v>42551</v>
      </c>
      <c r="D995" t="s">
        <v>8</v>
      </c>
      <c r="E995" t="s">
        <v>25</v>
      </c>
      <c r="F995">
        <v>1775.6</v>
      </c>
      <c r="G995">
        <v>434.97</v>
      </c>
    </row>
    <row r="996" spans="1:7" x14ac:dyDescent="0.35">
      <c r="A996" t="s">
        <v>1643</v>
      </c>
      <c r="B996" s="1" t="s">
        <v>136</v>
      </c>
      <c r="C996" s="2">
        <f t="shared" si="15"/>
        <v>42521</v>
      </c>
      <c r="D996" t="s">
        <v>12</v>
      </c>
      <c r="E996" t="s">
        <v>25</v>
      </c>
      <c r="F996">
        <v>1557.19</v>
      </c>
      <c r="G996">
        <v>193.47</v>
      </c>
    </row>
    <row r="997" spans="1:7" x14ac:dyDescent="0.35">
      <c r="A997" t="s">
        <v>1644</v>
      </c>
      <c r="B997" s="1" t="s">
        <v>1529</v>
      </c>
      <c r="C997" s="2">
        <f t="shared" si="15"/>
        <v>43131</v>
      </c>
      <c r="D997" t="s">
        <v>8</v>
      </c>
      <c r="E997" t="s">
        <v>13</v>
      </c>
      <c r="F997">
        <v>4407.1899999999996</v>
      </c>
      <c r="G997">
        <v>827.39</v>
      </c>
    </row>
    <row r="998" spans="1:7" x14ac:dyDescent="0.35">
      <c r="A998" t="s">
        <v>1645</v>
      </c>
      <c r="B998" s="1" t="s">
        <v>626</v>
      </c>
      <c r="C998" s="2">
        <f t="shared" si="15"/>
        <v>43039</v>
      </c>
      <c r="D998" t="s">
        <v>37</v>
      </c>
      <c r="E998" t="s">
        <v>13</v>
      </c>
      <c r="F998">
        <v>1120.44</v>
      </c>
      <c r="G998">
        <v>170.95</v>
      </c>
    </row>
    <row r="999" spans="1:7" x14ac:dyDescent="0.35">
      <c r="A999" t="s">
        <v>1646</v>
      </c>
      <c r="B999" s="1" t="s">
        <v>92</v>
      </c>
      <c r="C999" s="2">
        <f t="shared" si="15"/>
        <v>42735</v>
      </c>
      <c r="D999" t="s">
        <v>37</v>
      </c>
      <c r="E999" t="s">
        <v>13</v>
      </c>
      <c r="F999">
        <v>2549.0500000000002</v>
      </c>
      <c r="G999">
        <v>484.59</v>
      </c>
    </row>
    <row r="1000" spans="1:7" x14ac:dyDescent="0.35">
      <c r="A1000" t="s">
        <v>1647</v>
      </c>
      <c r="B1000" s="1" t="s">
        <v>169</v>
      </c>
      <c r="C1000" s="2">
        <f t="shared" si="15"/>
        <v>43039</v>
      </c>
      <c r="D1000" t="s">
        <v>8</v>
      </c>
      <c r="E1000" t="s">
        <v>25</v>
      </c>
      <c r="F1000">
        <v>1262.8900000000001</v>
      </c>
      <c r="G1000">
        <v>354.58</v>
      </c>
    </row>
    <row r="1001" spans="1:7" x14ac:dyDescent="0.35">
      <c r="A1001" t="s">
        <v>1648</v>
      </c>
      <c r="B1001" s="1" t="s">
        <v>1649</v>
      </c>
      <c r="C1001" s="2">
        <f t="shared" si="15"/>
        <v>42947</v>
      </c>
      <c r="D1001" t="s">
        <v>12</v>
      </c>
      <c r="E1001" t="s">
        <v>9</v>
      </c>
      <c r="F1001">
        <v>4703.54</v>
      </c>
      <c r="G1001">
        <v>484.32</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04D0-C3B9-4318-81F8-A58AD8565978}">
  <dimension ref="A2:B8"/>
  <sheetViews>
    <sheetView zoomScale="95" workbookViewId="0">
      <selection activeCell="T1" sqref="T1"/>
    </sheetView>
  </sheetViews>
  <sheetFormatPr defaultRowHeight="14.5" x14ac:dyDescent="0.35"/>
  <cols>
    <col min="1" max="1" width="12.36328125" bestFit="1" customWidth="1"/>
    <col min="2" max="2" width="11.26953125" bestFit="1" customWidth="1"/>
  </cols>
  <sheetData>
    <row r="2" spans="1:2" ht="18.5" x14ac:dyDescent="0.45">
      <c r="A2" s="8" t="s">
        <v>1655</v>
      </c>
    </row>
    <row r="3" spans="1:2" x14ac:dyDescent="0.35">
      <c r="A3" s="3" t="s">
        <v>1651</v>
      </c>
      <c r="B3" t="s">
        <v>1653</v>
      </c>
    </row>
    <row r="4" spans="1:2" x14ac:dyDescent="0.35">
      <c r="A4" s="5" t="s">
        <v>12</v>
      </c>
      <c r="B4">
        <v>675313.97999999975</v>
      </c>
    </row>
    <row r="5" spans="1:2" x14ac:dyDescent="0.35">
      <c r="A5" s="5" t="s">
        <v>37</v>
      </c>
      <c r="B5">
        <v>663969.35999999987</v>
      </c>
    </row>
    <row r="6" spans="1:2" x14ac:dyDescent="0.35">
      <c r="A6" s="5" t="s">
        <v>16</v>
      </c>
      <c r="B6">
        <v>577445.75000000023</v>
      </c>
    </row>
    <row r="7" spans="1:2" x14ac:dyDescent="0.35">
      <c r="A7" s="5" t="s">
        <v>8</v>
      </c>
      <c r="B7">
        <v>651233.30000000016</v>
      </c>
    </row>
    <row r="8" spans="1:2" x14ac:dyDescent="0.35">
      <c r="A8" s="5" t="s">
        <v>1652</v>
      </c>
      <c r="B8">
        <v>2567962.39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78233-05AA-4A23-A16F-A38B1A776F76}">
  <dimension ref="A2:B7"/>
  <sheetViews>
    <sheetView workbookViewId="0">
      <selection activeCell="S1" sqref="S1"/>
    </sheetView>
  </sheetViews>
  <sheetFormatPr defaultRowHeight="14.5" x14ac:dyDescent="0.35"/>
  <cols>
    <col min="1" max="1" width="13.1796875" bestFit="1" customWidth="1"/>
    <col min="2" max="2" width="11.26953125" bestFit="1" customWidth="1"/>
  </cols>
  <sheetData>
    <row r="2" spans="1:2" ht="18.5" x14ac:dyDescent="0.45">
      <c r="A2" s="8" t="s">
        <v>1656</v>
      </c>
    </row>
    <row r="3" spans="1:2" x14ac:dyDescent="0.35">
      <c r="A3" s="3" t="s">
        <v>1651</v>
      </c>
      <c r="B3" t="s">
        <v>1653</v>
      </c>
    </row>
    <row r="4" spans="1:2" x14ac:dyDescent="0.35">
      <c r="A4" s="5" t="s">
        <v>13</v>
      </c>
      <c r="B4">
        <v>883602.33</v>
      </c>
    </row>
    <row r="5" spans="1:2" x14ac:dyDescent="0.35">
      <c r="A5" s="5" t="s">
        <v>25</v>
      </c>
      <c r="B5">
        <v>849869.69</v>
      </c>
    </row>
    <row r="6" spans="1:2" x14ac:dyDescent="0.35">
      <c r="A6" s="5" t="s">
        <v>9</v>
      </c>
      <c r="B6">
        <v>834490.36999999965</v>
      </c>
    </row>
    <row r="7" spans="1:2" x14ac:dyDescent="0.35">
      <c r="A7" s="5" t="s">
        <v>1652</v>
      </c>
      <c r="B7">
        <v>2567962.3899999997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2C78-AAD8-47EF-BA85-844699598B2C}">
  <dimension ref="A2:B37"/>
  <sheetViews>
    <sheetView topLeftCell="A2" zoomScale="60" zoomScaleNormal="60" workbookViewId="0">
      <selection activeCell="Q12" sqref="Q12"/>
    </sheetView>
  </sheetViews>
  <sheetFormatPr defaultRowHeight="14.5" x14ac:dyDescent="0.35"/>
  <cols>
    <col min="1" max="1" width="12.36328125" bestFit="1" customWidth="1"/>
    <col min="2" max="2" width="11.26953125" bestFit="1" customWidth="1"/>
  </cols>
  <sheetData>
    <row r="2" spans="1:2" ht="18.5" x14ac:dyDescent="0.45">
      <c r="A2" s="8" t="s">
        <v>1654</v>
      </c>
    </row>
    <row r="3" spans="1:2" x14ac:dyDescent="0.35">
      <c r="A3" s="3" t="s">
        <v>1651</v>
      </c>
      <c r="B3" t="s">
        <v>1653</v>
      </c>
    </row>
    <row r="4" spans="1:2" x14ac:dyDescent="0.35">
      <c r="A4" s="4">
        <v>42400</v>
      </c>
      <c r="B4">
        <v>65163.470000000008</v>
      </c>
    </row>
    <row r="5" spans="1:2" x14ac:dyDescent="0.35">
      <c r="A5" s="4">
        <v>42429</v>
      </c>
      <c r="B5">
        <v>97309.01</v>
      </c>
    </row>
    <row r="6" spans="1:2" x14ac:dyDescent="0.35">
      <c r="A6" s="4">
        <v>42460</v>
      </c>
      <c r="B6">
        <v>79032.379999999976</v>
      </c>
    </row>
    <row r="7" spans="1:2" x14ac:dyDescent="0.35">
      <c r="A7" s="4">
        <v>42490</v>
      </c>
      <c r="B7">
        <v>51759.520000000004</v>
      </c>
    </row>
    <row r="8" spans="1:2" x14ac:dyDescent="0.35">
      <c r="A8" s="4">
        <v>42521</v>
      </c>
      <c r="B8">
        <v>73686.059999999983</v>
      </c>
    </row>
    <row r="9" spans="1:2" x14ac:dyDescent="0.35">
      <c r="A9" s="4">
        <v>42551</v>
      </c>
      <c r="B9">
        <v>70963.000000000015</v>
      </c>
    </row>
    <row r="10" spans="1:2" x14ac:dyDescent="0.35">
      <c r="A10" s="4">
        <v>42582</v>
      </c>
      <c r="B10">
        <v>84587.150000000023</v>
      </c>
    </row>
    <row r="11" spans="1:2" x14ac:dyDescent="0.35">
      <c r="A11" s="4">
        <v>42613</v>
      </c>
      <c r="B11">
        <v>82667.959999999992</v>
      </c>
    </row>
    <row r="12" spans="1:2" x14ac:dyDescent="0.35">
      <c r="A12" s="4">
        <v>42643</v>
      </c>
      <c r="B12">
        <v>90396.970000000016</v>
      </c>
    </row>
    <row r="13" spans="1:2" x14ac:dyDescent="0.35">
      <c r="A13" s="4">
        <v>42674</v>
      </c>
      <c r="B13">
        <v>62761.590000000011</v>
      </c>
    </row>
    <row r="14" spans="1:2" x14ac:dyDescent="0.35">
      <c r="A14" s="4">
        <v>42704</v>
      </c>
      <c r="B14">
        <v>84516.99</v>
      </c>
    </row>
    <row r="15" spans="1:2" x14ac:dyDescent="0.35">
      <c r="A15" s="4">
        <v>42735</v>
      </c>
      <c r="B15">
        <v>117916.68999999997</v>
      </c>
    </row>
    <row r="16" spans="1:2" x14ac:dyDescent="0.35">
      <c r="A16" s="4">
        <v>42766</v>
      </c>
      <c r="B16">
        <v>90533.23</v>
      </c>
    </row>
    <row r="17" spans="1:2" x14ac:dyDescent="0.35">
      <c r="A17" s="4">
        <v>42794</v>
      </c>
      <c r="B17">
        <v>79401.37999999999</v>
      </c>
    </row>
    <row r="18" spans="1:2" x14ac:dyDescent="0.35">
      <c r="A18" s="4">
        <v>42825</v>
      </c>
      <c r="B18">
        <v>73974.36</v>
      </c>
    </row>
    <row r="19" spans="1:2" x14ac:dyDescent="0.35">
      <c r="A19" s="4">
        <v>42855</v>
      </c>
      <c r="B19">
        <v>69552.97</v>
      </c>
    </row>
    <row r="20" spans="1:2" x14ac:dyDescent="0.35">
      <c r="A20" s="4">
        <v>42886</v>
      </c>
      <c r="B20">
        <v>89937.23000000004</v>
      </c>
    </row>
    <row r="21" spans="1:2" x14ac:dyDescent="0.35">
      <c r="A21" s="4">
        <v>42916</v>
      </c>
      <c r="B21">
        <v>94354.23</v>
      </c>
    </row>
    <row r="22" spans="1:2" x14ac:dyDescent="0.35">
      <c r="A22" s="4">
        <v>42947</v>
      </c>
      <c r="B22">
        <v>88575.549999999974</v>
      </c>
    </row>
    <row r="23" spans="1:2" x14ac:dyDescent="0.35">
      <c r="A23" s="4">
        <v>42978</v>
      </c>
      <c r="B23">
        <v>55257.09</v>
      </c>
    </row>
    <row r="24" spans="1:2" x14ac:dyDescent="0.35">
      <c r="A24" s="4">
        <v>43008</v>
      </c>
      <c r="B24">
        <v>83779.549999999988</v>
      </c>
    </row>
    <row r="25" spans="1:2" x14ac:dyDescent="0.35">
      <c r="A25" s="4">
        <v>43039</v>
      </c>
      <c r="B25">
        <v>91250.83</v>
      </c>
    </row>
    <row r="26" spans="1:2" x14ac:dyDescent="0.35">
      <c r="A26" s="4">
        <v>43069</v>
      </c>
      <c r="B26">
        <v>56087.87999999999</v>
      </c>
    </row>
    <row r="27" spans="1:2" x14ac:dyDescent="0.35">
      <c r="A27" s="4">
        <v>43100</v>
      </c>
      <c r="B27">
        <v>75738.77</v>
      </c>
    </row>
    <row r="28" spans="1:2" x14ac:dyDescent="0.35">
      <c r="A28" s="4">
        <v>43131</v>
      </c>
      <c r="B28">
        <v>49279.969999999994</v>
      </c>
    </row>
    <row r="29" spans="1:2" x14ac:dyDescent="0.35">
      <c r="A29" s="4">
        <v>43159</v>
      </c>
      <c r="B29">
        <v>60678.85</v>
      </c>
    </row>
    <row r="30" spans="1:2" x14ac:dyDescent="0.35">
      <c r="A30" s="4">
        <v>43190</v>
      </c>
      <c r="B30">
        <v>74261.760000000009</v>
      </c>
    </row>
    <row r="31" spans="1:2" x14ac:dyDescent="0.35">
      <c r="A31" s="4">
        <v>43220</v>
      </c>
      <c r="B31">
        <v>72628.439999999973</v>
      </c>
    </row>
    <row r="32" spans="1:2" x14ac:dyDescent="0.35">
      <c r="A32" s="4">
        <v>43251</v>
      </c>
      <c r="B32">
        <v>103479.19999999998</v>
      </c>
    </row>
    <row r="33" spans="1:2" x14ac:dyDescent="0.35">
      <c r="A33" s="4">
        <v>43281</v>
      </c>
      <c r="B33">
        <v>80599.83</v>
      </c>
    </row>
    <row r="34" spans="1:2" x14ac:dyDescent="0.35">
      <c r="A34" s="4">
        <v>43312</v>
      </c>
      <c r="B34">
        <v>89604.110000000015</v>
      </c>
    </row>
    <row r="35" spans="1:2" x14ac:dyDescent="0.35">
      <c r="A35" s="4">
        <v>43343</v>
      </c>
      <c r="B35">
        <v>66084.790000000008</v>
      </c>
    </row>
    <row r="36" spans="1:2" x14ac:dyDescent="0.35">
      <c r="A36" s="4">
        <v>43373</v>
      </c>
      <c r="B36">
        <v>62141.580000000009</v>
      </c>
    </row>
    <row r="37" spans="1:2" x14ac:dyDescent="0.35">
      <c r="A37" s="4" t="s">
        <v>1652</v>
      </c>
      <c r="B37">
        <v>2567962.3900000006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C387-1D1F-4B5D-A410-A55D2A0D9749}">
  <dimension ref="A2:C4"/>
  <sheetViews>
    <sheetView workbookViewId="0">
      <selection activeCell="M3" sqref="M3"/>
    </sheetView>
  </sheetViews>
  <sheetFormatPr defaultRowHeight="14.5" x14ac:dyDescent="0.35"/>
  <cols>
    <col min="1" max="1" width="12.36328125" bestFit="1" customWidth="1"/>
    <col min="2" max="2" width="12.7265625" bestFit="1" customWidth="1"/>
    <col min="3" max="3" width="11.36328125" bestFit="1" customWidth="1"/>
  </cols>
  <sheetData>
    <row r="2" spans="1:3" ht="18.5" x14ac:dyDescent="0.45">
      <c r="A2" s="8" t="s">
        <v>1666</v>
      </c>
    </row>
    <row r="3" spans="1:3" x14ac:dyDescent="0.35">
      <c r="A3" t="s">
        <v>1657</v>
      </c>
      <c r="B3" t="s">
        <v>1658</v>
      </c>
      <c r="C3" t="s">
        <v>1659</v>
      </c>
    </row>
    <row r="4" spans="1:3" x14ac:dyDescent="0.35">
      <c r="A4" s="6">
        <v>2567962.390000002</v>
      </c>
      <c r="B4">
        <v>1000</v>
      </c>
      <c r="C4" s="6">
        <v>444048.03999999986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C026-D6A6-429F-9279-42EE12A38F52}">
  <dimension ref="A1:AC52"/>
  <sheetViews>
    <sheetView tabSelected="1" zoomScale="80" zoomScaleNormal="80" workbookViewId="0"/>
  </sheetViews>
  <sheetFormatPr defaultRowHeight="14.5" x14ac:dyDescent="0.35"/>
  <cols>
    <col min="5" max="5" width="8.7265625" customWidth="1"/>
    <col min="8" max="8" width="18.08984375" customWidth="1"/>
    <col min="9" max="9" width="23.7265625" bestFit="1" customWidth="1"/>
    <col min="10" max="10" width="18.81640625" bestFit="1" customWidth="1"/>
  </cols>
  <sheetData>
    <row r="1" spans="1:20" ht="46" x14ac:dyDescent="1">
      <c r="A1" t="s">
        <v>1668</v>
      </c>
      <c r="E1" s="7" t="s">
        <v>1662</v>
      </c>
    </row>
    <row r="3" spans="1:20" ht="26" x14ac:dyDescent="0.6">
      <c r="H3" s="10" t="s">
        <v>1657</v>
      </c>
      <c r="I3" s="10" t="s">
        <v>1658</v>
      </c>
      <c r="J3" s="10" t="s">
        <v>1659</v>
      </c>
    </row>
    <row r="4" spans="1:20" ht="26" x14ac:dyDescent="0.6">
      <c r="H4" s="11">
        <f>KPIs!A3:A4</f>
        <v>2567962.390000002</v>
      </c>
      <c r="I4" s="12">
        <f>GETPIVOTDATA("Total Order ID",KPIs!$A$3)</f>
        <v>1000</v>
      </c>
      <c r="J4" s="11">
        <f>GETPIVOTDATA("Total Profit",KPIs!$A$3)</f>
        <v>444048.03999999986</v>
      </c>
    </row>
    <row r="7" spans="1:20" ht="18.5" x14ac:dyDescent="0.45">
      <c r="D7" s="8" t="s">
        <v>1660</v>
      </c>
      <c r="J7" s="8" t="s">
        <v>1663</v>
      </c>
      <c r="L7" s="8"/>
      <c r="T7" s="8" t="s">
        <v>1665</v>
      </c>
    </row>
    <row r="28" spans="8:8" ht="18.5" x14ac:dyDescent="0.45">
      <c r="H28" s="8" t="s">
        <v>1661</v>
      </c>
    </row>
    <row r="48" spans="29:29" x14ac:dyDescent="0.35">
      <c r="AC48" t="s">
        <v>1667</v>
      </c>
    </row>
    <row r="52" spans="4:9" ht="36" x14ac:dyDescent="0.8">
      <c r="D52" s="9"/>
      <c r="I52" s="16" t="s">
        <v>1664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Sales by Region</vt:lpstr>
      <vt:lpstr>Sales by Category</vt:lpstr>
      <vt:lpstr>Monthly Sales Trend</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Mansi khanna</cp:lastModifiedBy>
  <dcterms:created xsi:type="dcterms:W3CDTF">2026-04-04T14:58:28Z</dcterms:created>
  <dcterms:modified xsi:type="dcterms:W3CDTF">2026-04-19T09:35:34Z</dcterms:modified>
</cp:coreProperties>
</file>